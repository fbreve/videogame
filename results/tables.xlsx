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brev\Documents\Acadêmico\Simulações\videogame\results\"/>
    </mc:Choice>
  </mc:AlternateContent>
  <xr:revisionPtr revIDLastSave="0" documentId="13_ncr:1_{ECC42FF3-34FF-4103-9773-17803BF11051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creenshots" sheetId="2" r:id="rId1"/>
    <sheet name="Results" sheetId="1" r:id="rId2"/>
    <sheet name="Results Merged" sheetId="8" r:id="rId3"/>
    <sheet name="Results Feat-Extr" sheetId="3" r:id="rId4"/>
    <sheet name="ss-init" sheetId="4" r:id="rId5"/>
    <sheet name="ss-init (2)" sheetId="5" r:id="rId6"/>
    <sheet name="DataAug" sheetId="6" r:id="rId7"/>
    <sheet name="Interpolation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8" l="1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H52" i="8"/>
  <c r="F52" i="8"/>
  <c r="D52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X6" i="8"/>
  <c r="X5" i="8"/>
  <c r="X4" i="8"/>
  <c r="X3" i="8"/>
  <c r="X2" i="8"/>
  <c r="V24" i="8"/>
  <c r="T24" i="8"/>
  <c r="R24" i="8"/>
  <c r="P24" i="8"/>
  <c r="N24" i="8"/>
  <c r="L24" i="8"/>
  <c r="J24" i="8"/>
  <c r="H24" i="8"/>
  <c r="F24" i="8"/>
  <c r="D24" i="8"/>
  <c r="AK24" i="8"/>
  <c r="G52" i="8"/>
  <c r="E52" i="8"/>
  <c r="C52" i="8"/>
  <c r="U24" i="8"/>
  <c r="S24" i="8"/>
  <c r="Q24" i="8"/>
  <c r="O24" i="8"/>
  <c r="M24" i="8"/>
  <c r="K24" i="8"/>
  <c r="I24" i="8"/>
  <c r="G24" i="8"/>
  <c r="E24" i="8"/>
  <c r="C24" i="8"/>
  <c r="I51" i="8"/>
  <c r="Y23" i="8"/>
  <c r="W23" i="8"/>
  <c r="I50" i="8"/>
  <c r="Y22" i="8"/>
  <c r="W22" i="8"/>
  <c r="I49" i="8"/>
  <c r="Y21" i="8"/>
  <c r="W21" i="8"/>
  <c r="I48" i="8"/>
  <c r="Y20" i="8"/>
  <c r="W20" i="8"/>
  <c r="I47" i="8"/>
  <c r="Y19" i="8"/>
  <c r="W19" i="8"/>
  <c r="I46" i="8"/>
  <c r="Y18" i="8"/>
  <c r="W18" i="8"/>
  <c r="I45" i="8"/>
  <c r="Y17" i="8"/>
  <c r="W17" i="8"/>
  <c r="I44" i="8"/>
  <c r="Y16" i="8"/>
  <c r="W16" i="8"/>
  <c r="I43" i="8"/>
  <c r="Y15" i="8"/>
  <c r="W15" i="8"/>
  <c r="I42" i="8"/>
  <c r="Y14" i="8"/>
  <c r="W14" i="8"/>
  <c r="I41" i="8"/>
  <c r="Y13" i="8"/>
  <c r="W13" i="8"/>
  <c r="I40" i="8"/>
  <c r="Y12" i="8"/>
  <c r="W12" i="8"/>
  <c r="I39" i="8"/>
  <c r="Y11" i="8"/>
  <c r="W11" i="8"/>
  <c r="I38" i="8"/>
  <c r="Y10" i="8"/>
  <c r="W10" i="8"/>
  <c r="I37" i="8"/>
  <c r="Y9" i="8"/>
  <c r="W9" i="8"/>
  <c r="I36" i="8"/>
  <c r="Y8" i="8"/>
  <c r="W8" i="8"/>
  <c r="I35" i="8"/>
  <c r="Y7" i="8"/>
  <c r="W7" i="8"/>
  <c r="I34" i="8"/>
  <c r="Y6" i="8"/>
  <c r="W6" i="8"/>
  <c r="I33" i="8"/>
  <c r="Y5" i="8"/>
  <c r="W5" i="8"/>
  <c r="I32" i="8"/>
  <c r="Y4" i="8"/>
  <c r="W4" i="8"/>
  <c r="I31" i="8"/>
  <c r="Y3" i="8"/>
  <c r="W3" i="8"/>
  <c r="I30" i="8"/>
  <c r="Y2" i="8"/>
  <c r="W2" i="8"/>
  <c r="J53" i="7"/>
  <c r="I53" i="7"/>
  <c r="H53" i="7"/>
  <c r="G53" i="7"/>
  <c r="F53" i="7"/>
  <c r="E53" i="7"/>
  <c r="D53" i="7"/>
  <c r="C53" i="7"/>
  <c r="J26" i="7"/>
  <c r="I26" i="7"/>
  <c r="H26" i="7"/>
  <c r="G26" i="7"/>
  <c r="F26" i="7"/>
  <c r="E26" i="7"/>
  <c r="D26" i="7"/>
  <c r="C26" i="7"/>
  <c r="J52" i="8" l="1"/>
  <c r="X24" i="8"/>
  <c r="W24" i="8"/>
  <c r="I52" i="8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F53" i="6" l="1"/>
  <c r="E53" i="6"/>
  <c r="D53" i="6"/>
  <c r="C53" i="6"/>
  <c r="J53" i="6"/>
  <c r="I53" i="6"/>
  <c r="H53" i="6"/>
  <c r="G53" i="6"/>
  <c r="S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S24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" i="1"/>
  <c r="J26" i="6"/>
  <c r="I26" i="6"/>
  <c r="H26" i="6"/>
  <c r="G26" i="6"/>
  <c r="F26" i="6"/>
  <c r="E26" i="6"/>
  <c r="D26" i="6"/>
  <c r="C26" i="6"/>
  <c r="T50" i="1" l="1"/>
  <c r="T24" i="1"/>
  <c r="N134" i="5"/>
  <c r="M134" i="5"/>
  <c r="L134" i="5"/>
  <c r="K134" i="5"/>
  <c r="D134" i="5"/>
  <c r="C134" i="5"/>
  <c r="F134" i="5"/>
  <c r="E134" i="5"/>
  <c r="N53" i="5"/>
  <c r="M53" i="5"/>
  <c r="L53" i="5"/>
  <c r="K53" i="5"/>
  <c r="J53" i="5"/>
  <c r="I53" i="5"/>
  <c r="H53" i="5"/>
  <c r="G53" i="5"/>
  <c r="F53" i="5"/>
  <c r="E53" i="5"/>
  <c r="D53" i="5"/>
  <c r="C53" i="5"/>
  <c r="C80" i="5"/>
  <c r="D80" i="5"/>
  <c r="E80" i="5"/>
  <c r="F80" i="5"/>
  <c r="G80" i="5"/>
  <c r="H80" i="5"/>
  <c r="I80" i="5"/>
  <c r="J80" i="5"/>
  <c r="K80" i="5"/>
  <c r="L80" i="5"/>
  <c r="M80" i="5"/>
  <c r="N80" i="5"/>
  <c r="H50" i="1"/>
  <c r="H24" i="1"/>
  <c r="H134" i="5" l="1"/>
  <c r="G134" i="5"/>
  <c r="J134" i="5"/>
  <c r="I134" i="5"/>
  <c r="L24" i="1"/>
  <c r="R50" i="1"/>
  <c r="R24" i="1"/>
  <c r="N107" i="5"/>
  <c r="L107" i="5"/>
  <c r="D107" i="5"/>
  <c r="F107" i="5"/>
  <c r="J107" i="5"/>
  <c r="D26" i="5"/>
  <c r="F26" i="5"/>
  <c r="N26" i="5"/>
  <c r="H107" i="5"/>
  <c r="H26" i="5"/>
  <c r="L26" i="5"/>
  <c r="J26" i="5"/>
  <c r="L50" i="1"/>
  <c r="K50" i="1"/>
  <c r="Q50" i="1"/>
  <c r="J50" i="1"/>
  <c r="I50" i="1"/>
  <c r="G50" i="1"/>
  <c r="F50" i="1"/>
  <c r="E50" i="1"/>
  <c r="D50" i="1"/>
  <c r="C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Q24" i="1"/>
  <c r="E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50" i="1" l="1"/>
  <c r="M24" i="1"/>
  <c r="C107" i="5" l="1"/>
  <c r="E107" i="5"/>
  <c r="C26" i="5"/>
  <c r="E26" i="5"/>
  <c r="C24" i="1" l="1"/>
  <c r="D24" i="1"/>
  <c r="S50" i="4" l="1"/>
  <c r="S48" i="4"/>
  <c r="S42" i="4"/>
  <c r="S34" i="4"/>
  <c r="S31" i="4"/>
  <c r="M53" i="4"/>
  <c r="K53" i="4"/>
  <c r="I53" i="4"/>
  <c r="G53" i="4"/>
  <c r="N53" i="4"/>
  <c r="L53" i="4"/>
  <c r="J53" i="4"/>
  <c r="H53" i="4"/>
  <c r="F53" i="4"/>
  <c r="E53" i="4"/>
  <c r="D53" i="4"/>
  <c r="C53" i="4"/>
  <c r="M107" i="5"/>
  <c r="K107" i="5"/>
  <c r="I107" i="5"/>
  <c r="G107" i="5"/>
  <c r="M26" i="5"/>
  <c r="K26" i="5"/>
  <c r="I26" i="5"/>
  <c r="G26" i="5"/>
  <c r="N26" i="4"/>
  <c r="M26" i="4"/>
  <c r="L26" i="4"/>
  <c r="K26" i="4"/>
  <c r="H26" i="4"/>
  <c r="J26" i="4"/>
  <c r="I26" i="4"/>
  <c r="G26" i="4"/>
  <c r="S53" i="4" l="1"/>
  <c r="K24" i="1"/>
  <c r="Z24" i="1"/>
  <c r="F26" i="4"/>
  <c r="E26" i="4"/>
  <c r="C26" i="4"/>
  <c r="D26" i="4"/>
  <c r="J28" i="3" l="1"/>
  <c r="I28" i="3"/>
  <c r="H28" i="3"/>
  <c r="G28" i="3"/>
  <c r="F28" i="3"/>
  <c r="E28" i="3"/>
  <c r="D28" i="3"/>
  <c r="C28" i="3"/>
  <c r="J24" i="1"/>
  <c r="I24" i="1"/>
  <c r="G24" i="1"/>
  <c r="F24" i="1"/>
  <c r="G24" i="2" l="1"/>
  <c r="F24" i="2"/>
  <c r="E24" i="2"/>
  <c r="D24" i="2"/>
</calcChain>
</file>

<file path=xl/sharedStrings.xml><?xml version="1.0" encoding="utf-8"?>
<sst xmlns="http://schemas.openxmlformats.org/spreadsheetml/2006/main" count="764" uniqueCount="87">
  <si>
    <t>System</t>
  </si>
  <si>
    <t>Selected
Games</t>
  </si>
  <si>
    <t>Selected
Screenshots</t>
  </si>
  <si>
    <t>Total
Games</t>
  </si>
  <si>
    <t>Total
Screenshots</t>
  </si>
  <si>
    <t>Atari 2600</t>
  </si>
  <si>
    <t>NES</t>
  </si>
  <si>
    <t>Master System</t>
  </si>
  <si>
    <t>Mega Drive</t>
  </si>
  <si>
    <t>Super Nintendo</t>
  </si>
  <si>
    <t>PlayStation</t>
  </si>
  <si>
    <t>PlayStation 2</t>
  </si>
  <si>
    <t>PlayStation 3</t>
  </si>
  <si>
    <t>PlayStation 4</t>
  </si>
  <si>
    <t>PlayStation 5</t>
  </si>
  <si>
    <t>DenseNet169</t>
  </si>
  <si>
    <t>EfficientNetB2</t>
  </si>
  <si>
    <t>Xbox 360</t>
  </si>
  <si>
    <t>Nintendo Switch</t>
  </si>
  <si>
    <t>Wii</t>
  </si>
  <si>
    <t>Xbox One</t>
  </si>
  <si>
    <t>Código</t>
  </si>
  <si>
    <t>Average</t>
  </si>
  <si>
    <t>Nintendo 64</t>
  </si>
  <si>
    <t>Xbox</t>
  </si>
  <si>
    <t>GameCube</t>
  </si>
  <si>
    <t>Wii U</t>
  </si>
  <si>
    <t>PC Engine</t>
  </si>
  <si>
    <t>Sega Saturn</t>
  </si>
  <si>
    <t>Dreamcast</t>
  </si>
  <si>
    <t>Total</t>
  </si>
  <si>
    <t>Xbox Series</t>
  </si>
  <si>
    <t>Manufacturer</t>
  </si>
  <si>
    <t>Atari</t>
  </si>
  <si>
    <t>Nintendo</t>
  </si>
  <si>
    <t>Sega</t>
  </si>
  <si>
    <t>Sony</t>
  </si>
  <si>
    <t>Microsoft</t>
  </si>
  <si>
    <t>NEC/Hudson Soft</t>
  </si>
  <si>
    <t>Model</t>
  </si>
  <si>
    <t>Pooling</t>
  </si>
  <si>
    <t>avg</t>
  </si>
  <si>
    <t>PCA Comp.</t>
  </si>
  <si>
    <t>Code</t>
  </si>
  <si>
    <t>LR</t>
  </si>
  <si>
    <t>SVM</t>
  </si>
  <si>
    <t>LSVM</t>
  </si>
  <si>
    <t>KNN</t>
  </si>
  <si>
    <t>NB</t>
  </si>
  <si>
    <t>DT</t>
  </si>
  <si>
    <t>GB</t>
  </si>
  <si>
    <t>RF</t>
  </si>
  <si>
    <t>Epochs</t>
  </si>
  <si>
    <t>Accuracy</t>
  </si>
  <si>
    <t>EfficientNetV2B2</t>
  </si>
  <si>
    <t>EfficientNetB3</t>
  </si>
  <si>
    <t>Architecture</t>
  </si>
  <si>
    <t>Weights</t>
  </si>
  <si>
    <t>ImageNet</t>
  </si>
  <si>
    <t>Arcade</t>
  </si>
  <si>
    <t>VGG16</t>
  </si>
  <si>
    <t>Random</t>
  </si>
  <si>
    <t>Xbox Series X/S</t>
  </si>
  <si>
    <t>ViT-B16</t>
  </si>
  <si>
    <t>ViT-L32</t>
  </si>
  <si>
    <t>EfficientNetV2S</t>
  </si>
  <si>
    <t>Mobile
Net</t>
  </si>
  <si>
    <t>Dense
Net169</t>
  </si>
  <si>
    <t>Res
Net50</t>
  </si>
  <si>
    <t>Res
Net152</t>
  </si>
  <si>
    <t>Efficient
NetB0</t>
  </si>
  <si>
    <t>Efficient
NetB2</t>
  </si>
  <si>
    <t>Efficient
NetB3</t>
  </si>
  <si>
    <t>Efficient
NetV2S</t>
  </si>
  <si>
    <t>Dense
Net201</t>
  </si>
  <si>
    <t>DenseNet201</t>
  </si>
  <si>
    <t>Without Data Augmentation</t>
  </si>
  <si>
    <t>With Data Augmentation</t>
  </si>
  <si>
    <t>SwinT</t>
  </si>
  <si>
    <t>DenseNet201
EfficientNetV2S</t>
  </si>
  <si>
    <t>22,26%</t>
  </si>
  <si>
    <t>nearest</t>
  </si>
  <si>
    <t>lanczos</t>
  </si>
  <si>
    <t>ResNet50</t>
  </si>
  <si>
    <t>ResNet152</t>
  </si>
  <si>
    <t>MobileNet</t>
  </si>
  <si>
    <t>EfficientNetB0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</si>
</sst>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\(0.0\)"/>
    <numFmt numFmtId="167" formatCode="\(0.00%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2" fillId="0" borderId="7" xfId="0" applyFont="1" applyBorder="1"/>
    <xf numFmtId="0" fontId="3" fillId="0" borderId="7" xfId="0" applyFont="1" applyBorder="1" applyAlignment="1">
      <alignment horizontal="right"/>
    </xf>
    <xf numFmtId="165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0" borderId="4" xfId="0" applyFont="1" applyBorder="1"/>
    <xf numFmtId="0" fontId="3" fillId="0" borderId="4" xfId="0" applyFont="1" applyBorder="1" applyAlignment="1">
      <alignment horizontal="right"/>
    </xf>
    <xf numFmtId="165" fontId="2" fillId="0" borderId="5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/>
    </xf>
    <xf numFmtId="165" fontId="2" fillId="0" borderId="11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2" fillId="0" borderId="9" xfId="0" applyFont="1" applyBorder="1"/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3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165" fontId="0" fillId="0" borderId="5" xfId="0" applyNumberForma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wrapText="1"/>
    </xf>
    <xf numFmtId="165" fontId="2" fillId="0" borderId="9" xfId="0" applyNumberFormat="1" applyFont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 vertical="center" wrapText="1"/>
    </xf>
    <xf numFmtId="166" fontId="2" fillId="0" borderId="7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0" fillId="0" borderId="7" xfId="0" applyNumberFormat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4" xfId="0" applyNumberForma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0" fontId="0" fillId="0" borderId="4" xfId="0" applyNumberForma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167" fontId="2" fillId="0" borderId="9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9" xfId="0" applyNumberFormat="1" applyFont="1" applyBorder="1" applyAlignment="1">
      <alignment horizont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0" borderId="10" xfId="0" applyNumberForma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 vertical="center" wrapText="1"/>
    </xf>
    <xf numFmtId="167" fontId="0" fillId="0" borderId="9" xfId="0" applyNumberForma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0" fontId="3" fillId="0" borderId="7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/>
    </xf>
    <xf numFmtId="10" fontId="1" fillId="0" borderId="7" xfId="0" applyNumberFormat="1" applyFont="1" applyBorder="1" applyAlignment="1">
      <alignment horizontal="center" vertical="center" wrapText="1"/>
    </xf>
    <xf numFmtId="167" fontId="0" fillId="0" borderId="0" xfId="0" applyNumberFormat="1"/>
    <xf numFmtId="167" fontId="2" fillId="0" borderId="10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5" fontId="1" fillId="0" borderId="5" xfId="0" applyNumberFormat="1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10" fontId="1" fillId="0" borderId="9" xfId="0" applyNumberFormat="1" applyFont="1" applyBorder="1" applyAlignment="1">
      <alignment horizontal="center"/>
    </xf>
    <xf numFmtId="166" fontId="0" fillId="0" borderId="9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 wrapText="1"/>
    </xf>
    <xf numFmtId="10" fontId="0" fillId="0" borderId="0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167" fontId="0" fillId="0" borderId="4" xfId="0" applyNumberFormat="1" applyBorder="1" applyAlignment="1">
      <alignment horizontal="center"/>
    </xf>
    <xf numFmtId="167" fontId="0" fillId="0" borderId="4" xfId="0" applyNumberForma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0" fontId="0" fillId="0" borderId="1" xfId="0" applyNumberFormat="1" applyBorder="1" applyAlignment="1">
      <alignment horizontal="center" vertical="center" wrapText="1"/>
    </xf>
    <xf numFmtId="167" fontId="0" fillId="0" borderId="0" xfId="0" applyNumberForma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/>
    </xf>
    <xf numFmtId="164" fontId="1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0" fontId="0" fillId="0" borderId="1" xfId="0" applyNumberForma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167" fontId="0" fillId="0" borderId="0" xfId="0" applyNumberFormat="1" applyBorder="1" applyAlignment="1">
      <alignment horizontal="center"/>
    </xf>
    <xf numFmtId="10" fontId="1" fillId="0" borderId="1" xfId="0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10" fontId="0" fillId="0" borderId="5" xfId="0" applyNumberForma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wrapText="1"/>
    </xf>
    <xf numFmtId="167" fontId="0" fillId="0" borderId="3" xfId="0" applyNumberFormat="1" applyBorder="1" applyAlignment="1">
      <alignment horizontal="center"/>
    </xf>
    <xf numFmtId="10" fontId="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4A9D-B7A6-4454-897E-7C42D32FB8DC}">
  <dimension ref="A1:G40"/>
  <sheetViews>
    <sheetView workbookViewId="0">
      <selection activeCell="G48" sqref="G48"/>
    </sheetView>
  </sheetViews>
  <sheetFormatPr defaultRowHeight="14.5" x14ac:dyDescent="0.35"/>
  <cols>
    <col min="2" max="2" width="21.81640625" style="2" customWidth="1"/>
    <col min="3" max="3" width="19.54296875" style="1" customWidth="1"/>
    <col min="4" max="4" width="11.7265625" style="1" customWidth="1"/>
    <col min="5" max="5" width="10.1796875" style="1" customWidth="1"/>
    <col min="6" max="6" width="12.7265625" style="1" customWidth="1"/>
    <col min="7" max="7" width="15" style="1" customWidth="1"/>
  </cols>
  <sheetData>
    <row r="1" spans="1:7" ht="29.5" customHeight="1" x14ac:dyDescent="0.35">
      <c r="A1" t="s">
        <v>21</v>
      </c>
      <c r="B1" s="65" t="s">
        <v>0</v>
      </c>
      <c r="C1" s="66" t="s">
        <v>32</v>
      </c>
      <c r="D1" s="67" t="s">
        <v>1</v>
      </c>
      <c r="E1" s="67" t="s">
        <v>3</v>
      </c>
      <c r="F1" s="67" t="s">
        <v>2</v>
      </c>
      <c r="G1" s="67" t="s">
        <v>4</v>
      </c>
    </row>
    <row r="2" spans="1:7" x14ac:dyDescent="0.35">
      <c r="A2">
        <v>28</v>
      </c>
      <c r="B2" s="2" t="s">
        <v>5</v>
      </c>
      <c r="C2" s="1" t="s">
        <v>33</v>
      </c>
      <c r="D2" s="1">
        <v>302</v>
      </c>
      <c r="E2" s="1">
        <v>598</v>
      </c>
      <c r="F2" s="1">
        <v>2148</v>
      </c>
      <c r="G2" s="1">
        <v>2981</v>
      </c>
    </row>
    <row r="3" spans="1:7" x14ac:dyDescent="0.35">
      <c r="A3">
        <v>22</v>
      </c>
      <c r="B3" s="2" t="s">
        <v>6</v>
      </c>
      <c r="C3" s="1" t="s">
        <v>34</v>
      </c>
      <c r="D3" s="1">
        <v>1236</v>
      </c>
      <c r="E3" s="1">
        <v>1426</v>
      </c>
      <c r="F3" s="1">
        <v>18277</v>
      </c>
      <c r="G3" s="1">
        <v>18579</v>
      </c>
    </row>
    <row r="4" spans="1:7" x14ac:dyDescent="0.35">
      <c r="A4">
        <v>26</v>
      </c>
      <c r="B4" s="2" t="s">
        <v>7</v>
      </c>
      <c r="C4" s="1" t="s">
        <v>35</v>
      </c>
      <c r="D4" s="1">
        <v>322</v>
      </c>
      <c r="E4" s="1">
        <v>357</v>
      </c>
      <c r="F4" s="1">
        <v>4795</v>
      </c>
      <c r="G4" s="1">
        <v>4850</v>
      </c>
    </row>
    <row r="5" spans="1:7" x14ac:dyDescent="0.35">
      <c r="A5">
        <v>40</v>
      </c>
      <c r="B5" s="2" t="s">
        <v>27</v>
      </c>
      <c r="C5" s="1" t="s">
        <v>38</v>
      </c>
      <c r="D5" s="1">
        <v>213</v>
      </c>
      <c r="E5" s="1">
        <v>276</v>
      </c>
      <c r="F5" s="1">
        <v>3024</v>
      </c>
      <c r="G5" s="1">
        <v>3099</v>
      </c>
    </row>
    <row r="6" spans="1:7" x14ac:dyDescent="0.35">
      <c r="A6">
        <v>16</v>
      </c>
      <c r="B6" s="2" t="s">
        <v>8</v>
      </c>
      <c r="C6" s="1" t="s">
        <v>35</v>
      </c>
      <c r="D6" s="1">
        <v>926</v>
      </c>
      <c r="E6" s="1">
        <v>1016</v>
      </c>
      <c r="F6" s="1">
        <v>15838</v>
      </c>
      <c r="G6" s="1">
        <v>15943</v>
      </c>
    </row>
    <row r="7" spans="1:7" x14ac:dyDescent="0.35">
      <c r="A7">
        <v>15</v>
      </c>
      <c r="B7" s="2" t="s">
        <v>9</v>
      </c>
      <c r="C7" s="1" t="s">
        <v>34</v>
      </c>
      <c r="D7" s="1">
        <v>1113</v>
      </c>
      <c r="E7" s="1">
        <v>1216</v>
      </c>
      <c r="F7" s="1">
        <v>20926</v>
      </c>
      <c r="G7" s="1">
        <v>21079</v>
      </c>
    </row>
    <row r="8" spans="1:7" x14ac:dyDescent="0.35">
      <c r="A8">
        <v>23</v>
      </c>
      <c r="B8" s="2" t="s">
        <v>28</v>
      </c>
      <c r="C8" s="1" t="s">
        <v>35</v>
      </c>
      <c r="D8" s="1">
        <v>249</v>
      </c>
      <c r="E8" s="1">
        <v>809</v>
      </c>
      <c r="F8" s="1">
        <v>4413</v>
      </c>
      <c r="G8" s="1">
        <v>4536</v>
      </c>
    </row>
    <row r="9" spans="1:7" x14ac:dyDescent="0.35">
      <c r="A9">
        <v>6</v>
      </c>
      <c r="B9" s="2" t="s">
        <v>10</v>
      </c>
      <c r="C9" s="1" t="s">
        <v>36</v>
      </c>
      <c r="D9" s="1">
        <v>1197</v>
      </c>
      <c r="E9" s="1">
        <v>2815</v>
      </c>
      <c r="F9" s="1">
        <v>26831</v>
      </c>
      <c r="G9" s="1">
        <v>27095</v>
      </c>
    </row>
    <row r="10" spans="1:7" x14ac:dyDescent="0.35">
      <c r="A10">
        <v>9</v>
      </c>
      <c r="B10" s="2" t="s">
        <v>23</v>
      </c>
      <c r="C10" s="1" t="s">
        <v>34</v>
      </c>
      <c r="D10" s="1">
        <v>172</v>
      </c>
      <c r="E10" s="1">
        <v>378</v>
      </c>
      <c r="F10" s="1">
        <v>2958</v>
      </c>
      <c r="G10" s="1">
        <v>3125</v>
      </c>
    </row>
    <row r="11" spans="1:7" x14ac:dyDescent="0.35">
      <c r="A11">
        <v>8</v>
      </c>
      <c r="B11" s="2" t="s">
        <v>29</v>
      </c>
      <c r="C11" s="1" t="s">
        <v>35</v>
      </c>
      <c r="D11" s="1">
        <v>155</v>
      </c>
      <c r="E11" s="1">
        <v>553</v>
      </c>
      <c r="F11" s="1">
        <v>2147</v>
      </c>
      <c r="G11" s="1">
        <v>2217</v>
      </c>
    </row>
    <row r="12" spans="1:7" x14ac:dyDescent="0.35">
      <c r="A12">
        <v>7</v>
      </c>
      <c r="B12" s="2" t="s">
        <v>11</v>
      </c>
      <c r="C12" s="1" t="s">
        <v>36</v>
      </c>
      <c r="D12" s="1">
        <v>677</v>
      </c>
      <c r="E12" s="1">
        <v>3430</v>
      </c>
      <c r="F12" s="1">
        <v>14157</v>
      </c>
      <c r="G12" s="1">
        <v>14590</v>
      </c>
    </row>
    <row r="13" spans="1:7" x14ac:dyDescent="0.35">
      <c r="A13">
        <v>14</v>
      </c>
      <c r="B13" s="2" t="s">
        <v>25</v>
      </c>
      <c r="C13" s="1" t="s">
        <v>34</v>
      </c>
      <c r="D13" s="1">
        <v>149</v>
      </c>
      <c r="E13" s="1">
        <v>621</v>
      </c>
      <c r="F13" s="1">
        <v>3061</v>
      </c>
      <c r="G13" s="1">
        <v>3094</v>
      </c>
    </row>
    <row r="14" spans="1:7" x14ac:dyDescent="0.35">
      <c r="A14">
        <v>13</v>
      </c>
      <c r="B14" s="2" t="s">
        <v>24</v>
      </c>
      <c r="C14" s="1" t="s">
        <v>37</v>
      </c>
      <c r="D14" s="1">
        <v>161</v>
      </c>
      <c r="E14" s="1">
        <v>1015</v>
      </c>
      <c r="F14" s="1">
        <v>3351</v>
      </c>
      <c r="G14" s="1">
        <v>3379</v>
      </c>
    </row>
    <row r="15" spans="1:7" x14ac:dyDescent="0.35">
      <c r="A15">
        <v>69</v>
      </c>
      <c r="B15" s="2" t="s">
        <v>17</v>
      </c>
      <c r="C15" s="1" t="s">
        <v>37</v>
      </c>
      <c r="D15" s="1">
        <v>651</v>
      </c>
      <c r="E15" s="1">
        <v>9357</v>
      </c>
      <c r="F15" s="1">
        <v>9087</v>
      </c>
      <c r="G15" s="1">
        <v>9426</v>
      </c>
    </row>
    <row r="16" spans="1:7" x14ac:dyDescent="0.35">
      <c r="A16">
        <v>81</v>
      </c>
      <c r="B16" s="2" t="s">
        <v>12</v>
      </c>
      <c r="C16" s="1" t="s">
        <v>36</v>
      </c>
      <c r="D16" s="1">
        <v>255</v>
      </c>
      <c r="E16" s="1">
        <v>15146</v>
      </c>
      <c r="F16" s="1">
        <v>8358</v>
      </c>
      <c r="G16" s="1">
        <v>8493</v>
      </c>
    </row>
    <row r="17" spans="1:7" x14ac:dyDescent="0.35">
      <c r="A17">
        <v>82</v>
      </c>
      <c r="B17" s="2" t="s">
        <v>19</v>
      </c>
      <c r="C17" s="1" t="s">
        <v>34</v>
      </c>
      <c r="D17" s="1">
        <v>118</v>
      </c>
      <c r="E17" s="1">
        <v>2680</v>
      </c>
      <c r="F17" s="1">
        <v>2519</v>
      </c>
      <c r="G17" s="1">
        <v>2655</v>
      </c>
    </row>
    <row r="18" spans="1:7" x14ac:dyDescent="0.35">
      <c r="A18">
        <v>132</v>
      </c>
      <c r="B18" s="2" t="s">
        <v>26</v>
      </c>
      <c r="C18" s="1" t="s">
        <v>34</v>
      </c>
      <c r="D18" s="1">
        <v>31</v>
      </c>
      <c r="E18" s="1">
        <v>1590</v>
      </c>
      <c r="F18" s="1">
        <v>775</v>
      </c>
      <c r="G18" s="1">
        <v>798</v>
      </c>
    </row>
    <row r="19" spans="1:7" x14ac:dyDescent="0.35">
      <c r="A19">
        <v>141</v>
      </c>
      <c r="B19" s="2" t="s">
        <v>13</v>
      </c>
      <c r="C19" s="1" t="s">
        <v>36</v>
      </c>
      <c r="D19" s="1">
        <v>625</v>
      </c>
      <c r="E19" s="1">
        <v>22733</v>
      </c>
      <c r="F19" s="1">
        <v>22695</v>
      </c>
      <c r="G19" s="1">
        <v>22912</v>
      </c>
    </row>
    <row r="20" spans="1:7" x14ac:dyDescent="0.35">
      <c r="A20">
        <v>142</v>
      </c>
      <c r="B20" s="2" t="s">
        <v>20</v>
      </c>
      <c r="C20" s="1" t="s">
        <v>37</v>
      </c>
      <c r="D20" s="1">
        <v>119</v>
      </c>
      <c r="E20" s="1">
        <v>16545</v>
      </c>
      <c r="F20" s="1">
        <v>2397</v>
      </c>
      <c r="G20" s="1">
        <v>2661</v>
      </c>
    </row>
    <row r="21" spans="1:7" x14ac:dyDescent="0.35">
      <c r="A21">
        <v>203</v>
      </c>
      <c r="B21" s="2" t="s">
        <v>18</v>
      </c>
      <c r="C21" s="1" t="s">
        <v>34</v>
      </c>
      <c r="D21" s="1">
        <v>77</v>
      </c>
      <c r="E21" s="1">
        <v>12374</v>
      </c>
      <c r="F21" s="1">
        <v>1736</v>
      </c>
      <c r="G21" s="1">
        <v>1787</v>
      </c>
    </row>
    <row r="22" spans="1:7" x14ac:dyDescent="0.35">
      <c r="A22">
        <v>289</v>
      </c>
      <c r="B22" s="2" t="s">
        <v>62</v>
      </c>
      <c r="C22" s="1" t="s">
        <v>37</v>
      </c>
      <c r="D22" s="1">
        <v>5</v>
      </c>
      <c r="E22" s="1">
        <v>3256</v>
      </c>
      <c r="F22" s="1">
        <v>37</v>
      </c>
      <c r="G22" s="1">
        <v>44</v>
      </c>
    </row>
    <row r="23" spans="1:7" x14ac:dyDescent="0.35">
      <c r="A23">
        <v>288</v>
      </c>
      <c r="B23" s="2" t="s">
        <v>14</v>
      </c>
      <c r="C23" s="1" t="s">
        <v>36</v>
      </c>
      <c r="D23" s="1">
        <v>43</v>
      </c>
      <c r="E23" s="1">
        <v>2432</v>
      </c>
      <c r="F23" s="1">
        <v>1351</v>
      </c>
      <c r="G23" s="1">
        <v>1356</v>
      </c>
    </row>
    <row r="24" spans="1:7" x14ac:dyDescent="0.35">
      <c r="B24" s="65" t="s">
        <v>30</v>
      </c>
      <c r="C24" s="66"/>
      <c r="D24" s="66">
        <f>SUM(D2:D23)</f>
        <v>8796</v>
      </c>
      <c r="E24" s="66">
        <f>SUM(E2:E23)</f>
        <v>100623</v>
      </c>
      <c r="F24" s="66">
        <f>SUM(F2:F23)</f>
        <v>170881</v>
      </c>
      <c r="G24" s="66">
        <f>SUM(G2:G23)</f>
        <v>174699</v>
      </c>
    </row>
    <row r="29" spans="1:7" x14ac:dyDescent="0.35">
      <c r="D29" s="3"/>
    </row>
    <row r="30" spans="1:7" x14ac:dyDescent="0.35">
      <c r="D30" s="4"/>
    </row>
    <row r="31" spans="1:7" x14ac:dyDescent="0.35">
      <c r="D31" s="3"/>
    </row>
    <row r="32" spans="1:7" x14ac:dyDescent="0.35">
      <c r="D32" s="4"/>
    </row>
    <row r="33" spans="4:4" x14ac:dyDescent="0.35">
      <c r="D33" s="4"/>
    </row>
    <row r="34" spans="4:4" x14ac:dyDescent="0.35">
      <c r="D34" s="4"/>
    </row>
    <row r="35" spans="4:4" x14ac:dyDescent="0.35">
      <c r="D35" s="4"/>
    </row>
    <row r="36" spans="4:4" x14ac:dyDescent="0.35">
      <c r="D36" s="3"/>
    </row>
    <row r="37" spans="4:4" x14ac:dyDescent="0.35">
      <c r="D37" s="3"/>
    </row>
    <row r="38" spans="4:4" x14ac:dyDescent="0.35">
      <c r="D38" s="3"/>
    </row>
    <row r="39" spans="4:4" x14ac:dyDescent="0.35">
      <c r="D39" s="3"/>
    </row>
    <row r="40" spans="4:4" x14ac:dyDescent="0.35">
      <c r="D4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workbookViewId="0">
      <selection activeCell="C28" sqref="C28:C50"/>
    </sheetView>
  </sheetViews>
  <sheetFormatPr defaultRowHeight="14.5" x14ac:dyDescent="0.35"/>
  <cols>
    <col min="2" max="2" width="15" style="2" customWidth="1"/>
    <col min="3" max="3" width="12.26953125" style="1" customWidth="1"/>
    <col min="4" max="5" width="11.54296875" style="5" customWidth="1"/>
    <col min="6" max="6" width="11.453125" style="1" customWidth="1"/>
    <col min="7" max="7" width="12.6328125" style="1" customWidth="1"/>
    <col min="8" max="8" width="11.1796875" style="1" customWidth="1"/>
    <col min="9" max="10" width="12.6328125" customWidth="1"/>
    <col min="11" max="11" width="12.7265625" customWidth="1"/>
    <col min="12" max="12" width="11.26953125" customWidth="1"/>
    <col min="13" max="14" width="13.90625" customWidth="1"/>
    <col min="16" max="16" width="19.1796875" customWidth="1"/>
    <col min="19" max="19" width="7.81640625" customWidth="1"/>
  </cols>
  <sheetData>
    <row r="1" spans="1:26" ht="29.5" customHeight="1" x14ac:dyDescent="0.35">
      <c r="A1" t="s">
        <v>21</v>
      </c>
      <c r="B1" s="62" t="s">
        <v>0</v>
      </c>
      <c r="C1" s="85" t="s">
        <v>60</v>
      </c>
      <c r="D1" s="89" t="s">
        <v>68</v>
      </c>
      <c r="E1" s="89" t="s">
        <v>69</v>
      </c>
      <c r="F1" s="63" t="s">
        <v>66</v>
      </c>
      <c r="G1" s="63" t="s">
        <v>67</v>
      </c>
      <c r="H1" s="63" t="s">
        <v>74</v>
      </c>
      <c r="I1" s="63" t="s">
        <v>70</v>
      </c>
      <c r="J1" s="63" t="s">
        <v>71</v>
      </c>
      <c r="K1" s="63" t="s">
        <v>72</v>
      </c>
      <c r="L1" s="63" t="s">
        <v>73</v>
      </c>
      <c r="M1" s="63" t="s">
        <v>22</v>
      </c>
      <c r="N1" s="139"/>
      <c r="P1" s="62" t="s">
        <v>0</v>
      </c>
      <c r="Q1" s="63" t="s">
        <v>63</v>
      </c>
      <c r="R1" s="63" t="s">
        <v>64</v>
      </c>
      <c r="S1" s="63" t="s">
        <v>78</v>
      </c>
      <c r="T1" s="63" t="s">
        <v>22</v>
      </c>
      <c r="Z1" s="6" t="s">
        <v>54</v>
      </c>
    </row>
    <row r="2" spans="1:26" x14ac:dyDescent="0.35">
      <c r="A2">
        <v>28</v>
      </c>
      <c r="B2" s="2" t="s">
        <v>5</v>
      </c>
      <c r="C2" s="102">
        <v>0.48470000000000002</v>
      </c>
      <c r="D2" s="102">
        <v>0.89249999999999996</v>
      </c>
      <c r="E2" s="102">
        <v>0.879</v>
      </c>
      <c r="F2" s="103">
        <v>0.89246000000000003</v>
      </c>
      <c r="G2" s="103">
        <v>0.89390000000000003</v>
      </c>
      <c r="H2" s="102">
        <v>0.89059999999999995</v>
      </c>
      <c r="I2" s="103">
        <v>0.88919999999999999</v>
      </c>
      <c r="J2" s="103">
        <v>0.89200000000000002</v>
      </c>
      <c r="K2" s="104">
        <v>0.90359999999999996</v>
      </c>
      <c r="L2" s="102">
        <v>0.88919999999999999</v>
      </c>
      <c r="M2" s="102">
        <f t="shared" ref="M2:M23" si="0">AVERAGE(C2:K2)</f>
        <v>0.84643999999999997</v>
      </c>
      <c r="N2" s="102">
        <f>_xlfn.STDEV.S(C2:L2)</f>
        <v>0.1287438779731116</v>
      </c>
      <c r="P2" s="2" t="s">
        <v>5</v>
      </c>
      <c r="Q2" s="102">
        <v>0.72489999999999999</v>
      </c>
      <c r="R2" s="104">
        <v>0.74299999999999999</v>
      </c>
      <c r="S2" s="102">
        <v>2.1899999999999999E-2</v>
      </c>
      <c r="T2" s="102">
        <f>AVERAGE(Q2:S2)</f>
        <v>0.49659999999999999</v>
      </c>
      <c r="Z2" s="11">
        <v>0.88170000000000004</v>
      </c>
    </row>
    <row r="3" spans="1:26" x14ac:dyDescent="0.35">
      <c r="A3">
        <v>22</v>
      </c>
      <c r="B3" s="2" t="s">
        <v>6</v>
      </c>
      <c r="C3" s="102">
        <v>0.50870000000000004</v>
      </c>
      <c r="D3" s="102">
        <v>0.65839999999999999</v>
      </c>
      <c r="E3" s="102">
        <v>0.65649999999999997</v>
      </c>
      <c r="F3" s="103">
        <v>0.65498000000000001</v>
      </c>
      <c r="G3" s="103">
        <v>0.67190000000000005</v>
      </c>
      <c r="H3" s="102">
        <v>0.70040000000000002</v>
      </c>
      <c r="I3" s="103">
        <v>0.68452000000000002</v>
      </c>
      <c r="J3" s="103">
        <v>0.68755999999999995</v>
      </c>
      <c r="K3" s="102">
        <v>0.67800000000000005</v>
      </c>
      <c r="L3" s="104">
        <v>0.72509999999999997</v>
      </c>
      <c r="M3" s="102">
        <f t="shared" si="0"/>
        <v>0.65566222222222226</v>
      </c>
      <c r="N3" s="102">
        <f t="shared" ref="N3:N23" si="1">_xlfn.STDEV.S(C3:L3)</f>
        <v>5.8271731320693652E-2</v>
      </c>
      <c r="P3" s="2" t="s">
        <v>6</v>
      </c>
      <c r="Q3" s="102">
        <v>0.51060000000000005</v>
      </c>
      <c r="R3" s="104">
        <v>0.58169999999999999</v>
      </c>
      <c r="S3" s="102">
        <v>0.54530000000000001</v>
      </c>
      <c r="T3" s="102">
        <f>AVERAGE(Q3:Q3)</f>
        <v>0.51060000000000005</v>
      </c>
      <c r="Z3" s="11">
        <v>0.70679999999999998</v>
      </c>
    </row>
    <row r="4" spans="1:26" x14ac:dyDescent="0.35">
      <c r="A4">
        <v>26</v>
      </c>
      <c r="B4" s="2" t="s">
        <v>7</v>
      </c>
      <c r="C4" s="102">
        <v>0.21460000000000001</v>
      </c>
      <c r="D4" s="102">
        <v>0.71850000000000003</v>
      </c>
      <c r="E4" s="102">
        <v>0.66800000000000004</v>
      </c>
      <c r="F4" s="103">
        <v>0.70698000000000005</v>
      </c>
      <c r="G4" s="103">
        <v>0.74516000000000004</v>
      </c>
      <c r="H4" s="102">
        <v>0.73740000000000006</v>
      </c>
      <c r="I4" s="103">
        <v>0.71242000000000005</v>
      </c>
      <c r="J4" s="103">
        <v>0.74180000000000001</v>
      </c>
      <c r="K4" s="102">
        <v>0.7429</v>
      </c>
      <c r="L4" s="104">
        <v>0.76200000000000001</v>
      </c>
      <c r="M4" s="102">
        <f t="shared" si="0"/>
        <v>0.66530666666666671</v>
      </c>
      <c r="N4" s="102">
        <f t="shared" si="1"/>
        <v>0.16390722871998897</v>
      </c>
      <c r="P4" s="2" t="s">
        <v>7</v>
      </c>
      <c r="Q4" s="102">
        <v>0.55910000000000004</v>
      </c>
      <c r="R4" s="104">
        <v>0.5806</v>
      </c>
      <c r="S4" s="102">
        <v>0.40579999999999999</v>
      </c>
      <c r="T4" s="102">
        <f>AVERAGE(Q4:Q4)</f>
        <v>0.55910000000000004</v>
      </c>
      <c r="Z4" s="11">
        <v>0.72889999999999999</v>
      </c>
    </row>
    <row r="5" spans="1:26" x14ac:dyDescent="0.35">
      <c r="A5">
        <v>40</v>
      </c>
      <c r="B5" s="2" t="s">
        <v>27</v>
      </c>
      <c r="C5" s="102">
        <v>0.30549999999999999</v>
      </c>
      <c r="D5" s="102">
        <v>0.77380000000000004</v>
      </c>
      <c r="E5" s="102">
        <v>0.75360000000000005</v>
      </c>
      <c r="F5" s="103">
        <v>0.75429999999999997</v>
      </c>
      <c r="G5" s="103">
        <v>0.79893999999999998</v>
      </c>
      <c r="H5" s="102">
        <v>0.80189999999999995</v>
      </c>
      <c r="I5" s="103">
        <v>0.77712000000000003</v>
      </c>
      <c r="J5" s="103">
        <v>0.78342000000000001</v>
      </c>
      <c r="K5" s="102">
        <v>0.78900000000000003</v>
      </c>
      <c r="L5" s="104">
        <v>0.80520000000000003</v>
      </c>
      <c r="M5" s="102">
        <f t="shared" si="0"/>
        <v>0.72639777777777781</v>
      </c>
      <c r="N5" s="102">
        <f t="shared" si="1"/>
        <v>0.15173642775110602</v>
      </c>
      <c r="P5" s="2" t="s">
        <v>27</v>
      </c>
      <c r="Q5" s="102">
        <v>0.69740000000000002</v>
      </c>
      <c r="R5" s="102">
        <v>0.57050000000000001</v>
      </c>
      <c r="S5" s="104">
        <v>0.73209999999999997</v>
      </c>
      <c r="T5" s="102">
        <f>AVERAGE(Q5:Q5)</f>
        <v>0.69740000000000002</v>
      </c>
      <c r="Z5" s="11">
        <v>0.78210000000000002</v>
      </c>
    </row>
    <row r="6" spans="1:26" x14ac:dyDescent="0.35">
      <c r="A6">
        <v>16</v>
      </c>
      <c r="B6" s="2" t="s">
        <v>8</v>
      </c>
      <c r="C6" s="102">
        <v>0.28810000000000002</v>
      </c>
      <c r="D6" s="102">
        <v>0.68430000000000002</v>
      </c>
      <c r="E6" s="102">
        <v>0.68079999999999996</v>
      </c>
      <c r="F6" s="103">
        <v>0.67513999999999996</v>
      </c>
      <c r="G6" s="103">
        <v>0.73065999999999998</v>
      </c>
      <c r="H6" s="102">
        <v>0.73440000000000005</v>
      </c>
      <c r="I6" s="103">
        <v>0.73262000000000005</v>
      </c>
      <c r="J6" s="103">
        <v>0.72463999999999995</v>
      </c>
      <c r="K6" s="102">
        <v>0.73070000000000002</v>
      </c>
      <c r="L6" s="104">
        <v>0.74560000000000004</v>
      </c>
      <c r="M6" s="102">
        <f t="shared" si="0"/>
        <v>0.66459555555555549</v>
      </c>
      <c r="N6" s="102">
        <f t="shared" si="1"/>
        <v>0.13754034359254613</v>
      </c>
      <c r="P6" s="2" t="s">
        <v>8</v>
      </c>
      <c r="Q6" s="102">
        <v>0.52429999999999999</v>
      </c>
      <c r="R6" s="104">
        <v>0.55840000000000001</v>
      </c>
      <c r="S6" s="102">
        <v>0.35070000000000001</v>
      </c>
      <c r="T6" s="102">
        <f>AVERAGE(Q6:Q6)</f>
        <v>0.52429999999999999</v>
      </c>
      <c r="Z6" s="11">
        <v>0.72170000000000001</v>
      </c>
    </row>
    <row r="7" spans="1:26" x14ac:dyDescent="0.35">
      <c r="A7">
        <v>15</v>
      </c>
      <c r="B7" s="2" t="s">
        <v>9</v>
      </c>
      <c r="C7" s="102">
        <v>0.4824</v>
      </c>
      <c r="D7" s="102">
        <v>0.68230000000000002</v>
      </c>
      <c r="E7" s="102">
        <v>0.68420000000000003</v>
      </c>
      <c r="F7" s="103">
        <v>0.67235999999999996</v>
      </c>
      <c r="G7" s="103">
        <v>0.72470000000000001</v>
      </c>
      <c r="H7" s="104">
        <v>0.74509999999999998</v>
      </c>
      <c r="I7" s="103">
        <v>0.70152000000000003</v>
      </c>
      <c r="J7" s="103">
        <v>0.71423999999999999</v>
      </c>
      <c r="K7" s="102">
        <v>0.70809999999999995</v>
      </c>
      <c r="L7" s="102">
        <v>0.72889999999999999</v>
      </c>
      <c r="M7" s="102">
        <f t="shared" si="0"/>
        <v>0.67943555555555557</v>
      </c>
      <c r="N7" s="102">
        <f t="shared" si="1"/>
        <v>7.4526243222698685E-2</v>
      </c>
      <c r="P7" s="2" t="s">
        <v>9</v>
      </c>
      <c r="Q7" s="102">
        <v>0.53120000000000001</v>
      </c>
      <c r="R7" s="104">
        <v>0.53580000000000005</v>
      </c>
      <c r="S7" s="102">
        <v>0.33660000000000001</v>
      </c>
      <c r="T7" s="102">
        <f>AVERAGE(Q7:Q7)</f>
        <v>0.53120000000000001</v>
      </c>
      <c r="Z7" s="11">
        <v>0.73429999999999995</v>
      </c>
    </row>
    <row r="8" spans="1:26" x14ac:dyDescent="0.35">
      <c r="A8">
        <v>23</v>
      </c>
      <c r="B8" s="2" t="s">
        <v>28</v>
      </c>
      <c r="C8" s="102">
        <v>0.20780000000000001</v>
      </c>
      <c r="D8" s="102">
        <v>0.70040000000000002</v>
      </c>
      <c r="E8" s="102">
        <v>0.67190000000000005</v>
      </c>
      <c r="F8" s="103">
        <v>0.69725999999999999</v>
      </c>
      <c r="G8" s="103">
        <v>0.74939999999999996</v>
      </c>
      <c r="H8" s="102">
        <v>0.751</v>
      </c>
      <c r="I8" s="103">
        <v>0.67279999999999995</v>
      </c>
      <c r="J8" s="103">
        <v>0.68413999999999997</v>
      </c>
      <c r="K8" s="102">
        <v>0.70499999999999996</v>
      </c>
      <c r="L8" s="104">
        <v>0.7591</v>
      </c>
      <c r="M8" s="102">
        <f t="shared" si="0"/>
        <v>0.64885555555555552</v>
      </c>
      <c r="N8" s="102">
        <f t="shared" si="1"/>
        <v>0.16210851070947646</v>
      </c>
      <c r="P8" s="2" t="s">
        <v>28</v>
      </c>
      <c r="Q8" s="102">
        <v>0.52070000000000005</v>
      </c>
      <c r="R8" s="104">
        <v>0.52959999999999996</v>
      </c>
      <c r="S8" s="102">
        <v>0.50629999999999997</v>
      </c>
      <c r="T8" s="102">
        <f>AVERAGE(Q8:Q8)</f>
        <v>0.52070000000000005</v>
      </c>
      <c r="Z8" s="11">
        <v>0.67889999999999995</v>
      </c>
    </row>
    <row r="9" spans="1:26" x14ac:dyDescent="0.35">
      <c r="A9">
        <v>6</v>
      </c>
      <c r="B9" s="2" t="s">
        <v>10</v>
      </c>
      <c r="C9" s="102">
        <v>0.27089999999999997</v>
      </c>
      <c r="D9" s="102">
        <v>0.67410000000000003</v>
      </c>
      <c r="E9" s="102">
        <v>0.66100000000000003</v>
      </c>
      <c r="F9" s="103">
        <v>0.69084000000000001</v>
      </c>
      <c r="G9" s="103">
        <v>0.70786000000000004</v>
      </c>
      <c r="H9" s="102">
        <v>0.71189999999999998</v>
      </c>
      <c r="I9" s="103">
        <v>0.67676000000000003</v>
      </c>
      <c r="J9" s="103">
        <v>0.72265999999999997</v>
      </c>
      <c r="K9" s="102">
        <v>0.74019999999999997</v>
      </c>
      <c r="L9" s="104">
        <v>0.74770000000000003</v>
      </c>
      <c r="M9" s="102">
        <f t="shared" si="0"/>
        <v>0.65069111111111111</v>
      </c>
      <c r="N9" s="102">
        <f t="shared" si="1"/>
        <v>0.13978669534528498</v>
      </c>
      <c r="P9" s="2" t="s">
        <v>10</v>
      </c>
      <c r="Q9" s="102">
        <v>0.4289</v>
      </c>
      <c r="R9" s="102">
        <v>0.4874</v>
      </c>
      <c r="S9" s="104">
        <v>0.54700000000000004</v>
      </c>
      <c r="T9" s="102">
        <f>AVERAGE(Q9:Q9)</f>
        <v>0.4289</v>
      </c>
      <c r="Z9" s="11">
        <v>0.72109999999999996</v>
      </c>
    </row>
    <row r="10" spans="1:26" x14ac:dyDescent="0.35">
      <c r="A10">
        <v>9</v>
      </c>
      <c r="B10" s="2" t="s">
        <v>23</v>
      </c>
      <c r="C10" s="102">
        <v>0.23880000000000001</v>
      </c>
      <c r="D10" s="102">
        <v>0.78459999999999996</v>
      </c>
      <c r="E10" s="102">
        <v>0.76100000000000001</v>
      </c>
      <c r="F10" s="103">
        <v>0.76537999999999995</v>
      </c>
      <c r="G10" s="103">
        <v>0.83265999999999996</v>
      </c>
      <c r="H10" s="104">
        <v>0.8367</v>
      </c>
      <c r="I10" s="103">
        <v>0.73834</v>
      </c>
      <c r="J10" s="103">
        <v>0.7681</v>
      </c>
      <c r="K10" s="102">
        <v>0.77759999999999996</v>
      </c>
      <c r="L10" s="102">
        <v>0.82279999999999998</v>
      </c>
      <c r="M10" s="102">
        <f t="shared" si="0"/>
        <v>0.72257555555555542</v>
      </c>
      <c r="N10" s="102">
        <f t="shared" si="1"/>
        <v>0.17661212351742328</v>
      </c>
      <c r="P10" s="2" t="s">
        <v>23</v>
      </c>
      <c r="Q10" s="102">
        <v>0.57030000000000003</v>
      </c>
      <c r="R10" s="102">
        <v>0.49030000000000001</v>
      </c>
      <c r="S10" s="104">
        <v>0.57969999999999999</v>
      </c>
      <c r="T10" s="102">
        <f>AVERAGE(Q10:Q10)</f>
        <v>0.57030000000000003</v>
      </c>
      <c r="Z10" s="11">
        <v>0.76470000000000005</v>
      </c>
    </row>
    <row r="11" spans="1:26" x14ac:dyDescent="0.35">
      <c r="A11">
        <v>8</v>
      </c>
      <c r="B11" s="2" t="s">
        <v>29</v>
      </c>
      <c r="C11" s="102">
        <v>4.5600000000000002E-2</v>
      </c>
      <c r="D11" s="102">
        <v>0.70469999999999999</v>
      </c>
      <c r="E11" s="102">
        <v>0.67020000000000002</v>
      </c>
      <c r="F11" s="103">
        <v>0.65210000000000001</v>
      </c>
      <c r="G11" s="103">
        <v>0.75129999999999997</v>
      </c>
      <c r="H11" s="104">
        <v>0.75360000000000005</v>
      </c>
      <c r="I11" s="103">
        <v>0.63488</v>
      </c>
      <c r="J11" s="103">
        <v>0.67349999999999999</v>
      </c>
      <c r="K11" s="102">
        <v>0.67579999999999996</v>
      </c>
      <c r="L11" s="102">
        <v>0.74990000000000001</v>
      </c>
      <c r="M11" s="102">
        <f t="shared" si="0"/>
        <v>0.61796444444444443</v>
      </c>
      <c r="N11" s="102">
        <f t="shared" si="1"/>
        <v>0.2101784571791844</v>
      </c>
      <c r="P11" s="2" t="s">
        <v>29</v>
      </c>
      <c r="Q11" s="102">
        <v>0.5161</v>
      </c>
      <c r="R11" s="102">
        <v>0.50019999999999998</v>
      </c>
      <c r="S11" s="104">
        <v>0.57399999999999995</v>
      </c>
      <c r="T11" s="102">
        <f>AVERAGE(Q11:Q11)</f>
        <v>0.5161</v>
      </c>
      <c r="Z11" s="11">
        <v>0.64319999999999999</v>
      </c>
    </row>
    <row r="12" spans="1:26" x14ac:dyDescent="0.35">
      <c r="A12">
        <v>7</v>
      </c>
      <c r="B12" s="2" t="s">
        <v>11</v>
      </c>
      <c r="C12" s="102">
        <v>0.28170000000000001</v>
      </c>
      <c r="D12" s="102">
        <v>0.68869999999999998</v>
      </c>
      <c r="E12" s="102">
        <v>0.66249999999999998</v>
      </c>
      <c r="F12" s="103">
        <v>0.69394</v>
      </c>
      <c r="G12" s="103">
        <v>0.72728000000000004</v>
      </c>
      <c r="H12" s="102">
        <v>0.74109999999999998</v>
      </c>
      <c r="I12" s="103">
        <v>0.68362000000000001</v>
      </c>
      <c r="J12" s="103">
        <v>0.71257999999999999</v>
      </c>
      <c r="K12" s="102">
        <v>0.73450000000000004</v>
      </c>
      <c r="L12" s="104">
        <v>0.75139999999999996</v>
      </c>
      <c r="M12" s="102">
        <f t="shared" si="0"/>
        <v>0.65843555555555555</v>
      </c>
      <c r="N12" s="102">
        <f t="shared" si="1"/>
        <v>0.13857428595843044</v>
      </c>
      <c r="P12" s="2" t="s">
        <v>11</v>
      </c>
      <c r="Q12" s="104">
        <v>0.51080000000000003</v>
      </c>
      <c r="R12" s="102">
        <v>0.4783</v>
      </c>
      <c r="S12" s="102">
        <v>0.44600000000000001</v>
      </c>
      <c r="T12" s="102">
        <f>AVERAGE(Q12:Q12)</f>
        <v>0.51080000000000003</v>
      </c>
      <c r="Z12" s="11">
        <v>0.70640000000000003</v>
      </c>
    </row>
    <row r="13" spans="1:26" x14ac:dyDescent="0.35">
      <c r="A13">
        <v>14</v>
      </c>
      <c r="B13" s="2" t="s">
        <v>25</v>
      </c>
      <c r="C13" s="102">
        <v>5.5500000000000001E-2</v>
      </c>
      <c r="D13" s="102">
        <v>0.77490000000000003</v>
      </c>
      <c r="E13" s="102">
        <v>0.75370000000000004</v>
      </c>
      <c r="F13" s="103">
        <v>0.74156</v>
      </c>
      <c r="G13" s="103">
        <v>0.82325999999999999</v>
      </c>
      <c r="H13" s="104">
        <v>0.82879999999999998</v>
      </c>
      <c r="I13" s="103">
        <v>0.72070000000000001</v>
      </c>
      <c r="J13" s="103">
        <v>0.754</v>
      </c>
      <c r="K13" s="102">
        <v>0.74980000000000002</v>
      </c>
      <c r="L13" s="102">
        <v>0.81479999999999997</v>
      </c>
      <c r="M13" s="102">
        <f t="shared" si="0"/>
        <v>0.68913555555555561</v>
      </c>
      <c r="N13" s="102">
        <f t="shared" si="1"/>
        <v>0.23006237153336365</v>
      </c>
      <c r="P13" s="2" t="s">
        <v>25</v>
      </c>
      <c r="Q13" s="104">
        <v>0.5776</v>
      </c>
      <c r="R13" s="102">
        <v>0.46400000000000002</v>
      </c>
      <c r="S13" s="102">
        <v>0.22409999999999999</v>
      </c>
      <c r="T13" s="102">
        <f>AVERAGE(Q13:Q13)</f>
        <v>0.5776</v>
      </c>
      <c r="Z13" s="11">
        <v>0.75239999999999996</v>
      </c>
    </row>
    <row r="14" spans="1:26" x14ac:dyDescent="0.35">
      <c r="A14">
        <v>13</v>
      </c>
      <c r="B14" s="2" t="s">
        <v>24</v>
      </c>
      <c r="C14" s="102">
        <v>0.45090000000000002</v>
      </c>
      <c r="D14" s="102">
        <v>0.79800000000000004</v>
      </c>
      <c r="E14" s="102">
        <v>0.78359999999999996</v>
      </c>
      <c r="F14" s="103">
        <v>0.78036000000000005</v>
      </c>
      <c r="G14" s="103">
        <v>0.84392</v>
      </c>
      <c r="H14" s="102">
        <v>0.84030000000000005</v>
      </c>
      <c r="I14" s="103">
        <v>0.73858000000000001</v>
      </c>
      <c r="J14" s="103">
        <v>0.79288000000000003</v>
      </c>
      <c r="K14" s="102">
        <v>0.78600000000000003</v>
      </c>
      <c r="L14" s="104">
        <v>0.84450000000000003</v>
      </c>
      <c r="M14" s="102">
        <f t="shared" si="0"/>
        <v>0.75717111111111124</v>
      </c>
      <c r="N14" s="102">
        <f t="shared" si="1"/>
        <v>0.11568950045512133</v>
      </c>
      <c r="P14" s="2" t="s">
        <v>24</v>
      </c>
      <c r="Q14" s="102">
        <v>0.52769999999999995</v>
      </c>
      <c r="R14" s="102">
        <v>0.52280000000000004</v>
      </c>
      <c r="S14" s="104">
        <v>0.55059999999999998</v>
      </c>
      <c r="T14" s="102">
        <f>AVERAGE(Q14:Q14)</f>
        <v>0.52769999999999995</v>
      </c>
      <c r="Z14" s="11">
        <v>0.77049999999999996</v>
      </c>
    </row>
    <row r="15" spans="1:26" x14ac:dyDescent="0.35">
      <c r="A15">
        <v>69</v>
      </c>
      <c r="B15" s="2" t="s">
        <v>17</v>
      </c>
      <c r="C15" s="102">
        <v>0.38719999999999999</v>
      </c>
      <c r="D15" s="102">
        <v>0.74719999999999998</v>
      </c>
      <c r="E15" s="102">
        <v>0.72760000000000002</v>
      </c>
      <c r="F15" s="103">
        <v>0.74128000000000005</v>
      </c>
      <c r="G15" s="103">
        <v>0.78586</v>
      </c>
      <c r="H15" s="102">
        <v>0.79430000000000001</v>
      </c>
      <c r="I15" s="103">
        <v>0.7339</v>
      </c>
      <c r="J15" s="103">
        <v>0.76232</v>
      </c>
      <c r="K15" s="102">
        <v>0.77680000000000005</v>
      </c>
      <c r="L15" s="104">
        <v>0.80249999999999999</v>
      </c>
      <c r="M15" s="102">
        <f t="shared" si="0"/>
        <v>0.71738444444444438</v>
      </c>
      <c r="N15" s="102">
        <f t="shared" si="1"/>
        <v>0.12180738996008802</v>
      </c>
      <c r="P15" s="2" t="s">
        <v>17</v>
      </c>
      <c r="Q15" s="102">
        <v>0.42649999999999999</v>
      </c>
      <c r="R15" s="102">
        <v>0.4677</v>
      </c>
      <c r="S15" s="104">
        <v>0.59319999999999995</v>
      </c>
      <c r="T15" s="102">
        <f>AVERAGE(Q15:Q15)</f>
        <v>0.42649999999999999</v>
      </c>
      <c r="Z15" s="11">
        <v>0.75880000000000003</v>
      </c>
    </row>
    <row r="16" spans="1:26" x14ac:dyDescent="0.35">
      <c r="A16">
        <v>81</v>
      </c>
      <c r="B16" s="2" t="s">
        <v>12</v>
      </c>
      <c r="C16" s="102">
        <v>0.438</v>
      </c>
      <c r="D16" s="102">
        <v>0.6371</v>
      </c>
      <c r="E16" s="102">
        <v>0.62909999999999999</v>
      </c>
      <c r="F16" s="103">
        <v>0.62180000000000002</v>
      </c>
      <c r="G16" s="103">
        <v>0.70731999999999995</v>
      </c>
      <c r="H16" s="102">
        <v>0.70930000000000004</v>
      </c>
      <c r="I16" s="103">
        <v>0.66583999999999999</v>
      </c>
      <c r="J16" s="103">
        <v>0.68901999999999997</v>
      </c>
      <c r="K16" s="102">
        <v>0.71819999999999995</v>
      </c>
      <c r="L16" s="104">
        <v>0.7198</v>
      </c>
      <c r="M16" s="102">
        <f t="shared" si="0"/>
        <v>0.64618666666666669</v>
      </c>
      <c r="N16" s="102">
        <f t="shared" si="1"/>
        <v>8.4534933843943172E-2</v>
      </c>
      <c r="P16" s="2" t="s">
        <v>12</v>
      </c>
      <c r="Q16" s="102">
        <v>0.45319999999999999</v>
      </c>
      <c r="R16" s="102">
        <v>0.33019999999999999</v>
      </c>
      <c r="S16" s="104">
        <v>0.46529999999999999</v>
      </c>
      <c r="T16" s="102">
        <f>AVERAGE(Q16:Q16)</f>
        <v>0.45319999999999999</v>
      </c>
      <c r="Z16" s="11">
        <v>0.70689999999999997</v>
      </c>
    </row>
    <row r="17" spans="1:26" x14ac:dyDescent="0.35">
      <c r="A17">
        <v>82</v>
      </c>
      <c r="B17" s="2" t="s">
        <v>19</v>
      </c>
      <c r="C17" s="102">
        <v>0.2006</v>
      </c>
      <c r="D17" s="102">
        <v>0.76349999999999996</v>
      </c>
      <c r="E17" s="102">
        <v>0.75819999999999999</v>
      </c>
      <c r="F17" s="103">
        <v>0.76380000000000003</v>
      </c>
      <c r="G17" s="103">
        <v>0.83365999999999996</v>
      </c>
      <c r="H17" s="102">
        <v>0.83050000000000002</v>
      </c>
      <c r="I17" s="103">
        <v>0.75546000000000002</v>
      </c>
      <c r="J17" s="103">
        <v>0.76737999999999995</v>
      </c>
      <c r="K17" s="102">
        <v>0.78400000000000003</v>
      </c>
      <c r="L17" s="104">
        <v>0.83960000000000001</v>
      </c>
      <c r="M17" s="102">
        <f t="shared" si="0"/>
        <v>0.71745555555555562</v>
      </c>
      <c r="N17" s="102">
        <f t="shared" si="1"/>
        <v>0.18889811557203703</v>
      </c>
      <c r="P17" s="2" t="s">
        <v>19</v>
      </c>
      <c r="Q17" s="104">
        <v>0.60660000000000003</v>
      </c>
      <c r="R17" s="102">
        <v>0.48399999999999999</v>
      </c>
      <c r="S17" s="102">
        <v>0.43569999999999998</v>
      </c>
      <c r="T17" s="102">
        <f>AVERAGE(Q17:Q17)</f>
        <v>0.60660000000000003</v>
      </c>
      <c r="Z17" s="11">
        <v>0.76780000000000004</v>
      </c>
    </row>
    <row r="18" spans="1:26" x14ac:dyDescent="0.35">
      <c r="A18">
        <v>132</v>
      </c>
      <c r="B18" s="2" t="s">
        <v>26</v>
      </c>
      <c r="C18" s="102">
        <v>0.14710000000000001</v>
      </c>
      <c r="D18" s="102">
        <v>0.67689999999999995</v>
      </c>
      <c r="E18" s="102">
        <v>0.66059999999999997</v>
      </c>
      <c r="F18" s="103">
        <v>0.65937999999999997</v>
      </c>
      <c r="G18" s="103">
        <v>0.72643999999999997</v>
      </c>
      <c r="H18" s="102">
        <v>0.73029999999999995</v>
      </c>
      <c r="I18" s="103">
        <v>0.69420000000000004</v>
      </c>
      <c r="J18" s="103">
        <v>0.70064000000000004</v>
      </c>
      <c r="K18" s="102">
        <v>0.71870000000000001</v>
      </c>
      <c r="L18" s="104">
        <v>0.74970000000000003</v>
      </c>
      <c r="M18" s="102">
        <f t="shared" si="0"/>
        <v>0.6349177777777778</v>
      </c>
      <c r="N18" s="102">
        <f t="shared" si="1"/>
        <v>0.17800482809931489</v>
      </c>
      <c r="P18" s="2" t="s">
        <v>26</v>
      </c>
      <c r="Q18" s="104">
        <v>0.50190000000000001</v>
      </c>
      <c r="R18" s="102">
        <v>0.49940000000000001</v>
      </c>
      <c r="S18" s="102">
        <v>0.33079999999999998</v>
      </c>
      <c r="T18" s="102">
        <f>AVERAGE(Q18:Q18)</f>
        <v>0.50190000000000001</v>
      </c>
      <c r="Z18" s="11">
        <v>0.69420000000000004</v>
      </c>
    </row>
    <row r="19" spans="1:26" x14ac:dyDescent="0.35">
      <c r="A19">
        <v>141</v>
      </c>
      <c r="B19" s="2" t="s">
        <v>13</v>
      </c>
      <c r="C19" s="102">
        <v>0.36909999999999998</v>
      </c>
      <c r="D19" s="102">
        <v>0.52170000000000005</v>
      </c>
      <c r="E19" s="102">
        <v>0.54379999999999995</v>
      </c>
      <c r="F19" s="103">
        <v>0.56013999999999997</v>
      </c>
      <c r="G19" s="103">
        <v>0.61514000000000002</v>
      </c>
      <c r="H19" s="102">
        <v>0.62190000000000001</v>
      </c>
      <c r="I19" s="103">
        <v>0.59750000000000003</v>
      </c>
      <c r="J19" s="103">
        <v>0.62734000000000001</v>
      </c>
      <c r="K19" s="104">
        <v>0.64770000000000005</v>
      </c>
      <c r="L19" s="102">
        <v>0.63170000000000004</v>
      </c>
      <c r="M19" s="102">
        <f t="shared" si="0"/>
        <v>0.5671466666666668</v>
      </c>
      <c r="N19" s="102">
        <f t="shared" si="1"/>
        <v>8.2977340119656171E-2</v>
      </c>
      <c r="P19" s="2" t="s">
        <v>13</v>
      </c>
      <c r="Q19" s="102">
        <v>0.38250000000000001</v>
      </c>
      <c r="R19" s="102">
        <v>0.28599999999999998</v>
      </c>
      <c r="S19" s="104">
        <v>0.46779999999999999</v>
      </c>
      <c r="T19" s="102">
        <f>AVERAGE(Q19:Q19)</f>
        <v>0.38250000000000001</v>
      </c>
    </row>
    <row r="20" spans="1:26" x14ac:dyDescent="0.35">
      <c r="A20">
        <v>142</v>
      </c>
      <c r="B20" s="2" t="s">
        <v>20</v>
      </c>
      <c r="C20" s="102">
        <v>0.25990000000000002</v>
      </c>
      <c r="D20" s="102">
        <v>0.61370000000000002</v>
      </c>
      <c r="E20" s="102">
        <v>0.58620000000000005</v>
      </c>
      <c r="F20" s="103">
        <v>0.55822000000000005</v>
      </c>
      <c r="G20" s="103">
        <v>0.64581999999999995</v>
      </c>
      <c r="H20" s="102">
        <v>0.64959999999999996</v>
      </c>
      <c r="I20" s="103">
        <v>0.57908000000000004</v>
      </c>
      <c r="J20" s="103">
        <v>0.58575999999999995</v>
      </c>
      <c r="K20" s="102">
        <v>0.63500000000000001</v>
      </c>
      <c r="L20" s="104">
        <v>0.66249999999999998</v>
      </c>
      <c r="M20" s="102">
        <f t="shared" si="0"/>
        <v>0.56814222222222222</v>
      </c>
      <c r="N20" s="102">
        <f t="shared" si="1"/>
        <v>0.11694991993726786</v>
      </c>
      <c r="P20" s="2" t="s">
        <v>20</v>
      </c>
      <c r="Q20" s="104">
        <v>0.3488</v>
      </c>
      <c r="R20" s="102">
        <v>0.32300000000000001</v>
      </c>
      <c r="S20" s="102">
        <v>0.3392</v>
      </c>
      <c r="T20" s="102">
        <f>AVERAGE(Q20:Q20)</f>
        <v>0.3488</v>
      </c>
    </row>
    <row r="21" spans="1:26" x14ac:dyDescent="0.35">
      <c r="A21">
        <v>203</v>
      </c>
      <c r="B21" s="2" t="s">
        <v>18</v>
      </c>
      <c r="C21" s="102">
        <v>0.1757</v>
      </c>
      <c r="D21" s="102">
        <v>0.75629999999999997</v>
      </c>
      <c r="E21" s="102">
        <v>0.70279999999999998</v>
      </c>
      <c r="F21" s="103">
        <v>0.73617999999999995</v>
      </c>
      <c r="G21" s="103">
        <v>0.80012000000000005</v>
      </c>
      <c r="H21" s="102">
        <v>0.79900000000000004</v>
      </c>
      <c r="I21" s="103">
        <v>0.75114000000000003</v>
      </c>
      <c r="J21" s="103">
        <v>0.78112000000000004</v>
      </c>
      <c r="K21" s="105">
        <v>0.78859999999999997</v>
      </c>
      <c r="L21" s="104">
        <v>0.80469999999999997</v>
      </c>
      <c r="M21" s="102">
        <f t="shared" si="0"/>
        <v>0.69899555555555548</v>
      </c>
      <c r="N21" s="102">
        <f t="shared" si="1"/>
        <v>0.19040738408884197</v>
      </c>
      <c r="P21" s="2" t="s">
        <v>18</v>
      </c>
      <c r="Q21" s="102">
        <v>0.50570000000000004</v>
      </c>
      <c r="R21" s="104">
        <v>0.53680000000000005</v>
      </c>
      <c r="S21" s="102">
        <v>0.40229999999999999</v>
      </c>
      <c r="T21" s="102">
        <f>AVERAGE(Q21:Q21)</f>
        <v>0.50570000000000004</v>
      </c>
    </row>
    <row r="22" spans="1:26" x14ac:dyDescent="0.35">
      <c r="A22">
        <v>289</v>
      </c>
      <c r="B22" s="22" t="s">
        <v>62</v>
      </c>
      <c r="C22" s="102">
        <v>0.3821</v>
      </c>
      <c r="D22" s="102">
        <v>0.43930000000000002</v>
      </c>
      <c r="E22" s="102">
        <v>0.27139999999999997</v>
      </c>
      <c r="F22" s="103">
        <v>0.76427999999999996</v>
      </c>
      <c r="G22" s="103">
        <v>0.60711999999999999</v>
      </c>
      <c r="H22" s="102">
        <v>0.78569999999999995</v>
      </c>
      <c r="I22" s="103">
        <v>0.91783999999999999</v>
      </c>
      <c r="J22" s="103">
        <v>0.97141999999999995</v>
      </c>
      <c r="K22" s="105">
        <v>0.97140000000000004</v>
      </c>
      <c r="L22" s="104">
        <v>1</v>
      </c>
      <c r="M22" s="102">
        <f t="shared" si="0"/>
        <v>0.67895111111111117</v>
      </c>
      <c r="N22" s="102">
        <f t="shared" si="1"/>
        <v>0.27005856431522385</v>
      </c>
      <c r="P22" s="22" t="s">
        <v>62</v>
      </c>
      <c r="Q22" s="102">
        <v>0.52500000000000002</v>
      </c>
      <c r="R22" s="102">
        <v>0.48930000000000001</v>
      </c>
      <c r="S22" s="104">
        <v>0.58209999999999995</v>
      </c>
      <c r="T22" s="102">
        <f>AVERAGE(Q22:Q22)</f>
        <v>0.52500000000000002</v>
      </c>
    </row>
    <row r="23" spans="1:26" x14ac:dyDescent="0.35">
      <c r="A23">
        <v>288</v>
      </c>
      <c r="B23" s="2" t="s">
        <v>14</v>
      </c>
      <c r="C23" s="102">
        <v>0.14949999999999999</v>
      </c>
      <c r="D23" s="102">
        <v>0.59809999999999997</v>
      </c>
      <c r="E23" s="102">
        <v>0.54249999999999998</v>
      </c>
      <c r="F23" s="103">
        <v>0.57143999999999995</v>
      </c>
      <c r="G23" s="103">
        <v>0.65802000000000005</v>
      </c>
      <c r="H23" s="102">
        <v>0.67579999999999996</v>
      </c>
      <c r="I23" s="103">
        <v>0.58628000000000002</v>
      </c>
      <c r="J23" s="103">
        <v>0.61882000000000004</v>
      </c>
      <c r="K23" s="105">
        <v>0.62990000000000002</v>
      </c>
      <c r="L23" s="104">
        <v>0.68100000000000005</v>
      </c>
      <c r="M23" s="102">
        <f t="shared" si="0"/>
        <v>0.55892888888888892</v>
      </c>
      <c r="N23" s="102">
        <f t="shared" si="1"/>
        <v>0.15486692489575274</v>
      </c>
      <c r="P23" s="2" t="s">
        <v>14</v>
      </c>
      <c r="Q23" s="104">
        <v>0.31169999999999998</v>
      </c>
      <c r="R23" s="102">
        <v>0.27089999999999997</v>
      </c>
      <c r="S23" s="102">
        <v>0.25569999999999998</v>
      </c>
      <c r="T23" s="102">
        <f>AVERAGE(Q23:Q23)</f>
        <v>0.31169999999999998</v>
      </c>
    </row>
    <row r="24" spans="1:26" x14ac:dyDescent="0.35">
      <c r="B24" s="64" t="s">
        <v>22</v>
      </c>
      <c r="C24" s="106">
        <f t="shared" ref="C24:L24" si="2">AVERAGE(C2:C23)</f>
        <v>0.28838181818181818</v>
      </c>
      <c r="D24" s="106">
        <f t="shared" si="2"/>
        <v>0.69495454545454538</v>
      </c>
      <c r="E24" s="106">
        <f t="shared" si="2"/>
        <v>0.6685545454545454</v>
      </c>
      <c r="F24" s="106">
        <f t="shared" si="2"/>
        <v>0.69791727272727266</v>
      </c>
      <c r="G24" s="106">
        <f t="shared" si="2"/>
        <v>0.74456545454545453</v>
      </c>
      <c r="H24" s="106">
        <f t="shared" si="2"/>
        <v>0.75770909090909089</v>
      </c>
      <c r="I24" s="106">
        <f t="shared" si="2"/>
        <v>0.7111054545454546</v>
      </c>
      <c r="J24" s="106">
        <f t="shared" si="2"/>
        <v>0.73433363636363636</v>
      </c>
      <c r="K24" s="106">
        <f t="shared" si="2"/>
        <v>0.7450681818181818</v>
      </c>
      <c r="L24" s="107">
        <f t="shared" si="2"/>
        <v>0.77444090909090935</v>
      </c>
      <c r="M24" s="108">
        <f>AVERAGE(M2:M23)</f>
        <v>0.67139888888888888</v>
      </c>
      <c r="N24" s="102"/>
      <c r="P24" s="64" t="s">
        <v>22</v>
      </c>
      <c r="Q24" s="132">
        <f>AVERAGE(Q2:Q23)</f>
        <v>0.51188636363636375</v>
      </c>
      <c r="R24" s="108">
        <f>AVERAGE(R2:R23)</f>
        <v>0.4877227272727272</v>
      </c>
      <c r="S24" s="108">
        <f>AVERAGE(S2:S23)</f>
        <v>0.44055454545454542</v>
      </c>
      <c r="T24" s="108">
        <f>AVERAGE(T2:T23)</f>
        <v>0.5015090909090909</v>
      </c>
      <c r="Z24" s="5">
        <f>AVERAGE(Z2:Z23)</f>
        <v>0.73649411764705885</v>
      </c>
    </row>
    <row r="27" spans="1:26" ht="29" x14ac:dyDescent="0.35">
      <c r="B27" s="62" t="s">
        <v>0</v>
      </c>
      <c r="C27" s="85" t="s">
        <v>60</v>
      </c>
      <c r="D27" s="89" t="s">
        <v>68</v>
      </c>
      <c r="E27" s="89" t="s">
        <v>69</v>
      </c>
      <c r="F27" s="63" t="s">
        <v>66</v>
      </c>
      <c r="G27" s="63" t="s">
        <v>67</v>
      </c>
      <c r="H27" s="63" t="s">
        <v>74</v>
      </c>
      <c r="I27" s="63" t="s">
        <v>70</v>
      </c>
      <c r="J27" s="63" t="s">
        <v>71</v>
      </c>
      <c r="K27" s="63" t="s">
        <v>72</v>
      </c>
      <c r="L27" s="63" t="s">
        <v>73</v>
      </c>
      <c r="M27" s="63" t="s">
        <v>22</v>
      </c>
      <c r="N27" s="139"/>
      <c r="P27" s="62" t="s">
        <v>0</v>
      </c>
      <c r="Q27" s="63" t="s">
        <v>63</v>
      </c>
      <c r="R27" s="63" t="s">
        <v>64</v>
      </c>
      <c r="S27" s="63" t="s">
        <v>78</v>
      </c>
      <c r="T27" s="63" t="s">
        <v>22</v>
      </c>
    </row>
    <row r="28" spans="1:26" x14ac:dyDescent="0.35">
      <c r="B28" s="2" t="s">
        <v>5</v>
      </c>
      <c r="C28" s="102">
        <v>0.34870000000000001</v>
      </c>
      <c r="D28" s="102">
        <v>5.7999999999999996E-3</v>
      </c>
      <c r="E28" s="102">
        <v>8.5000000000000006E-3</v>
      </c>
      <c r="F28" s="103">
        <v>1.1599999999999999E-2</v>
      </c>
      <c r="G28" s="103">
        <v>1.21E-2</v>
      </c>
      <c r="H28" s="102">
        <v>5.3E-3</v>
      </c>
      <c r="I28" s="103">
        <v>9.7999999999999997E-3</v>
      </c>
      <c r="J28" s="103">
        <v>1.3899999999999999E-2</v>
      </c>
      <c r="K28" s="102">
        <v>1.52E-2</v>
      </c>
      <c r="L28" s="102">
        <v>2.7400000000000001E-2</v>
      </c>
      <c r="M28" s="102">
        <f t="shared" ref="M28:M49" si="3">AVERAGE(C28:K28)</f>
        <v>4.7877777777777783E-2</v>
      </c>
      <c r="N28" s="102"/>
      <c r="P28" s="2" t="s">
        <v>5</v>
      </c>
      <c r="Q28" s="102">
        <v>2.4899999999999999E-2</v>
      </c>
      <c r="R28" s="102">
        <v>2.8799999999999999E-2</v>
      </c>
      <c r="S28" s="102">
        <v>5.5999999999999999E-3</v>
      </c>
      <c r="T28" s="102">
        <f>AVERAGE(Q28:S28)</f>
        <v>1.9766666666666665E-2</v>
      </c>
    </row>
    <row r="29" spans="1:26" x14ac:dyDescent="0.35">
      <c r="B29" s="2" t="s">
        <v>6</v>
      </c>
      <c r="C29" s="102">
        <v>1.9400000000000001E-2</v>
      </c>
      <c r="D29" s="102">
        <v>2.3E-2</v>
      </c>
      <c r="E29" s="102">
        <v>8.2000000000000007E-3</v>
      </c>
      <c r="F29" s="103">
        <v>3.8699999999999998E-2</v>
      </c>
      <c r="G29" s="103">
        <v>3.6499999999999998E-2</v>
      </c>
      <c r="H29" s="102">
        <v>1.9099999999999999E-2</v>
      </c>
      <c r="I29" s="103">
        <v>1.7500000000000002E-2</v>
      </c>
      <c r="J29" s="103">
        <v>3.27E-2</v>
      </c>
      <c r="K29" s="102">
        <v>4.1700000000000001E-2</v>
      </c>
      <c r="L29" s="102">
        <v>2.4E-2</v>
      </c>
      <c r="M29" s="102">
        <f t="shared" si="3"/>
        <v>2.6311111111111112E-2</v>
      </c>
      <c r="N29" s="102"/>
      <c r="P29" s="2" t="s">
        <v>6</v>
      </c>
      <c r="Q29" s="102">
        <v>7.0300000000000001E-2</v>
      </c>
      <c r="R29" s="102">
        <v>1.9400000000000001E-2</v>
      </c>
      <c r="S29" s="102">
        <v>1.38E-2</v>
      </c>
      <c r="T29" s="102">
        <f>AVERAGE(Q29:S29)</f>
        <v>3.4500000000000003E-2</v>
      </c>
    </row>
    <row r="30" spans="1:26" x14ac:dyDescent="0.35">
      <c r="B30" s="2" t="s">
        <v>7</v>
      </c>
      <c r="C30" s="102">
        <v>0.21460000000000001</v>
      </c>
      <c r="D30" s="102">
        <v>1.6999999999999999E-3</v>
      </c>
      <c r="E30" s="102">
        <v>4.4499999999999998E-2</v>
      </c>
      <c r="F30" s="103">
        <v>7.7000000000000002E-3</v>
      </c>
      <c r="G30" s="103">
        <v>9.7000000000000003E-3</v>
      </c>
      <c r="H30" s="102">
        <v>1.14E-2</v>
      </c>
      <c r="I30" s="103">
        <v>0.01</v>
      </c>
      <c r="J30" s="103">
        <v>3.0000000000000001E-3</v>
      </c>
      <c r="K30" s="102">
        <v>1.23E-2</v>
      </c>
      <c r="L30" s="102">
        <v>1.1900000000000001E-2</v>
      </c>
      <c r="M30" s="102">
        <f t="shared" si="3"/>
        <v>3.4988888888888889E-2</v>
      </c>
      <c r="N30" s="102"/>
      <c r="P30" s="2" t="s">
        <v>7</v>
      </c>
      <c r="Q30" s="102">
        <v>5.2499999999999998E-2</v>
      </c>
      <c r="R30" s="102">
        <v>9.1300000000000006E-2</v>
      </c>
      <c r="S30" s="102">
        <v>0.25990000000000002</v>
      </c>
      <c r="T30" s="102">
        <f>AVERAGE(Q30:S30)</f>
        <v>0.1345666666666667</v>
      </c>
    </row>
    <row r="31" spans="1:26" x14ac:dyDescent="0.35">
      <c r="B31" s="2" t="s">
        <v>27</v>
      </c>
      <c r="C31" s="102">
        <v>0.16070000000000001</v>
      </c>
      <c r="D31" s="102">
        <v>1.26E-2</v>
      </c>
      <c r="E31" s="102">
        <v>1.29E-2</v>
      </c>
      <c r="F31" s="103">
        <v>1.0500000000000001E-2</v>
      </c>
      <c r="G31" s="103">
        <v>1.3899999999999999E-2</v>
      </c>
      <c r="H31" s="102">
        <v>7.0000000000000001E-3</v>
      </c>
      <c r="I31" s="103">
        <v>5.4000000000000003E-3</v>
      </c>
      <c r="J31" s="103">
        <v>8.3000000000000001E-3</v>
      </c>
      <c r="K31" s="102">
        <v>8.3999999999999995E-3</v>
      </c>
      <c r="L31" s="102">
        <v>9.4000000000000004E-3</v>
      </c>
      <c r="M31" s="102">
        <f t="shared" si="3"/>
        <v>2.6633333333333332E-2</v>
      </c>
      <c r="N31" s="102"/>
      <c r="P31" s="2" t="s">
        <v>27</v>
      </c>
      <c r="Q31" s="102">
        <v>1.21E-2</v>
      </c>
      <c r="R31" s="102">
        <v>0.1106</v>
      </c>
      <c r="S31" s="102">
        <v>3.2599999999999997E-2</v>
      </c>
      <c r="T31" s="102">
        <f>AVERAGE(Q31:S31)</f>
        <v>5.1766666666666662E-2</v>
      </c>
    </row>
    <row r="32" spans="1:26" x14ac:dyDescent="0.35">
      <c r="B32" s="2" t="s">
        <v>8</v>
      </c>
      <c r="C32" s="102">
        <v>0.2331</v>
      </c>
      <c r="D32" s="102">
        <v>2.9399999999999999E-2</v>
      </c>
      <c r="E32" s="102">
        <v>0.02</v>
      </c>
      <c r="F32" s="103">
        <v>5.7599999999999998E-2</v>
      </c>
      <c r="G32" s="103">
        <v>2.5100000000000001E-2</v>
      </c>
      <c r="H32" s="102">
        <v>2.53E-2</v>
      </c>
      <c r="I32" s="103">
        <v>4.3E-3</v>
      </c>
      <c r="J32" s="103">
        <v>3.95E-2</v>
      </c>
      <c r="K32" s="102">
        <v>4.2200000000000001E-2</v>
      </c>
      <c r="L32" s="102">
        <v>3.2199999999999999E-2</v>
      </c>
      <c r="M32" s="102">
        <f t="shared" si="3"/>
        <v>5.2944444444444447E-2</v>
      </c>
      <c r="N32" s="102"/>
      <c r="P32" s="2" t="s">
        <v>8</v>
      </c>
      <c r="Q32" s="102">
        <v>8.2799999999999999E-2</v>
      </c>
      <c r="R32" s="102">
        <v>0.1009</v>
      </c>
      <c r="S32" s="102">
        <v>0.28399999999999997</v>
      </c>
      <c r="T32" s="102">
        <f>AVERAGE(Q32:S32)</f>
        <v>0.15590000000000001</v>
      </c>
    </row>
    <row r="33" spans="2:20" x14ac:dyDescent="0.35">
      <c r="B33" s="2" t="s">
        <v>9</v>
      </c>
      <c r="C33" s="102">
        <v>1.7000000000000001E-2</v>
      </c>
      <c r="D33" s="102">
        <v>2.92E-2</v>
      </c>
      <c r="E33" s="102">
        <v>1.29E-2</v>
      </c>
      <c r="F33" s="103">
        <v>4.9200000000000001E-2</v>
      </c>
      <c r="G33" s="103">
        <v>3.4599999999999999E-2</v>
      </c>
      <c r="H33" s="102">
        <v>8.0000000000000002E-3</v>
      </c>
      <c r="I33" s="103">
        <v>0.03</v>
      </c>
      <c r="J33" s="103">
        <v>3.2500000000000001E-2</v>
      </c>
      <c r="K33" s="102">
        <v>6.0900000000000003E-2</v>
      </c>
      <c r="L33" s="102">
        <v>1.72E-2</v>
      </c>
      <c r="M33" s="102">
        <f t="shared" si="3"/>
        <v>3.0477777777777777E-2</v>
      </c>
      <c r="N33" s="102"/>
      <c r="P33" s="2" t="s">
        <v>9</v>
      </c>
      <c r="Q33" s="102">
        <v>8.5699999999999998E-2</v>
      </c>
      <c r="R33" s="102">
        <v>0.1108</v>
      </c>
      <c r="S33" s="102">
        <v>0.32600000000000001</v>
      </c>
      <c r="T33" s="102">
        <f>AVERAGE(Q33:S33)</f>
        <v>0.17416666666666666</v>
      </c>
    </row>
    <row r="34" spans="2:20" x14ac:dyDescent="0.35">
      <c r="B34" s="2" t="s">
        <v>28</v>
      </c>
      <c r="C34" s="102">
        <v>0.13980000000000001</v>
      </c>
      <c r="D34" s="102">
        <v>1.09E-2</v>
      </c>
      <c r="E34" s="102">
        <v>1.4E-2</v>
      </c>
      <c r="F34" s="103">
        <v>1.4200000000000001E-2</v>
      </c>
      <c r="G34" s="103">
        <v>2.1100000000000001E-2</v>
      </c>
      <c r="H34" s="102">
        <v>1.35E-2</v>
      </c>
      <c r="I34" s="103">
        <v>1.5299999999999999E-2</v>
      </c>
      <c r="J34" s="103">
        <v>1.7899999999999999E-2</v>
      </c>
      <c r="K34" s="102">
        <v>9.7999999999999997E-3</v>
      </c>
      <c r="L34" s="102">
        <v>1.11E-2</v>
      </c>
      <c r="M34" s="102">
        <f t="shared" si="3"/>
        <v>2.8500000000000001E-2</v>
      </c>
      <c r="N34" s="102"/>
      <c r="P34" s="2" t="s">
        <v>28</v>
      </c>
      <c r="Q34" s="102">
        <v>5.5100000000000003E-2</v>
      </c>
      <c r="R34" s="102">
        <v>2.7300000000000001E-2</v>
      </c>
      <c r="S34" s="102">
        <v>7.1499999999999994E-2</v>
      </c>
      <c r="T34" s="102">
        <f>AVERAGE(Q34:S34)</f>
        <v>5.1299999999999991E-2</v>
      </c>
    </row>
    <row r="35" spans="2:20" x14ac:dyDescent="0.35">
      <c r="B35" s="2" t="s">
        <v>10</v>
      </c>
      <c r="C35" s="102">
        <v>0.2175</v>
      </c>
      <c r="D35" s="102">
        <v>2.3300000000000001E-2</v>
      </c>
      <c r="E35" s="102">
        <v>2.4299999999999999E-2</v>
      </c>
      <c r="F35" s="103">
        <v>1.2E-2</v>
      </c>
      <c r="G35" s="103">
        <v>2.7799999999999998E-2</v>
      </c>
      <c r="H35" s="102">
        <v>2.7799999999999998E-2</v>
      </c>
      <c r="I35" s="103">
        <v>4.5900000000000003E-2</v>
      </c>
      <c r="J35" s="103">
        <v>3.0200000000000001E-2</v>
      </c>
      <c r="K35" s="102">
        <v>1.03E-2</v>
      </c>
      <c r="L35" s="102">
        <v>2.4899999999999999E-2</v>
      </c>
      <c r="M35" s="102">
        <f t="shared" si="3"/>
        <v>4.6566666666666666E-2</v>
      </c>
      <c r="N35" s="102"/>
      <c r="P35" s="2" t="s">
        <v>10</v>
      </c>
      <c r="Q35" s="102">
        <v>8.9599999999999999E-2</v>
      </c>
      <c r="R35" s="102">
        <v>8.9800000000000005E-2</v>
      </c>
      <c r="S35" s="102">
        <v>3.2300000000000002E-2</v>
      </c>
      <c r="T35" s="102">
        <f>AVERAGE(Q35:S35)</f>
        <v>7.0566666666666666E-2</v>
      </c>
    </row>
    <row r="36" spans="2:20" x14ac:dyDescent="0.35">
      <c r="B36" s="2" t="s">
        <v>23</v>
      </c>
      <c r="C36" s="102">
        <v>0.19259999999999999</v>
      </c>
      <c r="D36" s="102">
        <v>1.5599999999999999E-2</v>
      </c>
      <c r="E36" s="102">
        <v>1.15E-2</v>
      </c>
      <c r="F36" s="103">
        <v>2.06E-2</v>
      </c>
      <c r="G36" s="103">
        <v>2.07E-2</v>
      </c>
      <c r="H36" s="102">
        <v>1.17E-2</v>
      </c>
      <c r="I36" s="103">
        <v>1.14E-2</v>
      </c>
      <c r="J36" s="103">
        <v>2.6499999999999999E-2</v>
      </c>
      <c r="K36" s="102">
        <v>8.9999999999999993E-3</v>
      </c>
      <c r="L36" s="102">
        <v>3.1899999999999998E-2</v>
      </c>
      <c r="M36" s="102">
        <f t="shared" si="3"/>
        <v>3.5511111111111118E-2</v>
      </c>
      <c r="N36" s="102"/>
      <c r="P36" s="2" t="s">
        <v>23</v>
      </c>
      <c r="Q36" s="102">
        <v>3.2399999999999998E-2</v>
      </c>
      <c r="R36" s="102">
        <v>0.18099999999999999</v>
      </c>
      <c r="S36" s="102">
        <v>0.25750000000000001</v>
      </c>
      <c r="T36" s="102">
        <f>AVERAGE(Q36:S36)</f>
        <v>0.15696666666666667</v>
      </c>
    </row>
    <row r="37" spans="2:20" x14ac:dyDescent="0.35">
      <c r="B37" s="2" t="s">
        <v>29</v>
      </c>
      <c r="C37" s="102">
        <v>2.2499999999999999E-2</v>
      </c>
      <c r="D37" s="102">
        <v>1.61E-2</v>
      </c>
      <c r="E37" s="102">
        <v>9.9000000000000008E-3</v>
      </c>
      <c r="F37" s="103">
        <v>3.8100000000000002E-2</v>
      </c>
      <c r="G37" s="103">
        <v>1.26E-2</v>
      </c>
      <c r="H37" s="102">
        <v>1.9E-2</v>
      </c>
      <c r="I37" s="103">
        <v>2.6200000000000001E-2</v>
      </c>
      <c r="J37" s="103">
        <v>0.03</v>
      </c>
      <c r="K37" s="102">
        <v>9.7000000000000003E-3</v>
      </c>
      <c r="L37" s="102">
        <v>1.83E-2</v>
      </c>
      <c r="M37" s="102">
        <f t="shared" si="3"/>
        <v>2.0455555555555553E-2</v>
      </c>
      <c r="N37" s="102"/>
      <c r="P37" s="2" t="s">
        <v>29</v>
      </c>
      <c r="Q37" s="102">
        <v>2.58E-2</v>
      </c>
      <c r="R37" s="102">
        <v>2.6200000000000001E-2</v>
      </c>
      <c r="S37" s="102">
        <v>8.2699999999999996E-2</v>
      </c>
      <c r="T37" s="102">
        <f>AVERAGE(Q37:S37)</f>
        <v>4.4899999999999995E-2</v>
      </c>
    </row>
    <row r="38" spans="2:20" x14ac:dyDescent="0.35">
      <c r="B38" s="2" t="s">
        <v>11</v>
      </c>
      <c r="C38" s="102">
        <v>0.2271</v>
      </c>
      <c r="D38" s="102">
        <v>8.6999999999999994E-3</v>
      </c>
      <c r="E38" s="102">
        <v>1.2E-2</v>
      </c>
      <c r="F38" s="103">
        <v>8.3000000000000001E-3</v>
      </c>
      <c r="G38" s="103">
        <v>1.4E-2</v>
      </c>
      <c r="H38" s="102">
        <v>3.8999999999999998E-3</v>
      </c>
      <c r="I38" s="103">
        <v>1.1299999999999999E-2</v>
      </c>
      <c r="J38" s="103">
        <v>2.4199999999999999E-2</v>
      </c>
      <c r="K38" s="102">
        <v>2.52E-2</v>
      </c>
      <c r="L38" s="102">
        <v>3.2899999999999999E-2</v>
      </c>
      <c r="M38" s="102">
        <f t="shared" si="3"/>
        <v>3.7188888888888889E-2</v>
      </c>
      <c r="N38" s="102"/>
      <c r="P38" s="2" t="s">
        <v>11</v>
      </c>
      <c r="Q38" s="102">
        <v>3.2300000000000002E-2</v>
      </c>
      <c r="R38" s="102">
        <v>8.0399999999999999E-2</v>
      </c>
      <c r="S38" s="102">
        <v>0.2213</v>
      </c>
      <c r="T38" s="102">
        <f>AVERAGE(Q38:S38)</f>
        <v>0.11133333333333333</v>
      </c>
    </row>
    <row r="39" spans="2:20" x14ac:dyDescent="0.35">
      <c r="B39" s="2" t="s">
        <v>25</v>
      </c>
      <c r="C39" s="102">
        <v>2.92E-2</v>
      </c>
      <c r="D39" s="102">
        <v>1.3899999999999999E-2</v>
      </c>
      <c r="E39" s="102">
        <v>8.0000000000000002E-3</v>
      </c>
      <c r="F39" s="103">
        <v>6.8999999999999999E-3</v>
      </c>
      <c r="G39" s="103">
        <v>5.4999999999999997E-3</v>
      </c>
      <c r="H39" s="102">
        <v>1.14E-2</v>
      </c>
      <c r="I39" s="103">
        <v>8.6E-3</v>
      </c>
      <c r="J39" s="103">
        <v>3.2199999999999999E-2</v>
      </c>
      <c r="K39" s="102">
        <v>1.4E-2</v>
      </c>
      <c r="L39" s="102">
        <v>2.3E-2</v>
      </c>
      <c r="M39" s="102">
        <f t="shared" si="3"/>
        <v>1.4411111111111112E-2</v>
      </c>
      <c r="N39" s="102"/>
      <c r="P39" s="2" t="s">
        <v>25</v>
      </c>
      <c r="Q39" s="102">
        <v>5.4699999999999999E-2</v>
      </c>
      <c r="R39" s="102">
        <v>0.20300000000000001</v>
      </c>
      <c r="S39" s="102">
        <v>0.2437</v>
      </c>
      <c r="T39" s="102">
        <f>AVERAGE(Q39:S39)</f>
        <v>0.16713333333333336</v>
      </c>
    </row>
    <row r="40" spans="2:20" x14ac:dyDescent="0.35">
      <c r="B40" s="2" t="s">
        <v>24</v>
      </c>
      <c r="C40" s="102">
        <v>0.1918</v>
      </c>
      <c r="D40" s="102">
        <v>1.5900000000000001E-2</v>
      </c>
      <c r="E40" s="102">
        <v>8.6999999999999994E-3</v>
      </c>
      <c r="F40" s="103">
        <v>6.2E-2</v>
      </c>
      <c r="G40" s="103">
        <v>1.8499999999999999E-2</v>
      </c>
      <c r="H40" s="102">
        <v>1.38E-2</v>
      </c>
      <c r="I40" s="103">
        <v>2.6200000000000001E-2</v>
      </c>
      <c r="J40" s="103">
        <v>1.17E-2</v>
      </c>
      <c r="K40" s="102">
        <v>2.3300000000000001E-2</v>
      </c>
      <c r="L40" s="102">
        <v>1.32E-2</v>
      </c>
      <c r="M40" s="102">
        <f t="shared" si="3"/>
        <v>4.1322222222222219E-2</v>
      </c>
      <c r="N40" s="102"/>
      <c r="P40" s="2" t="s">
        <v>24</v>
      </c>
      <c r="Q40" s="102">
        <v>9.6600000000000005E-2</v>
      </c>
      <c r="R40" s="102">
        <v>4.4900000000000002E-2</v>
      </c>
      <c r="S40" s="102">
        <v>0.26550000000000001</v>
      </c>
      <c r="T40" s="102">
        <f>AVERAGE(Q40:S40)</f>
        <v>0.13566666666666669</v>
      </c>
    </row>
    <row r="41" spans="2:20" x14ac:dyDescent="0.35">
      <c r="B41" s="2" t="s">
        <v>17</v>
      </c>
      <c r="C41" s="102">
        <v>0.1706</v>
      </c>
      <c r="D41" s="102">
        <v>1.01E-2</v>
      </c>
      <c r="E41" s="102">
        <v>1.15E-2</v>
      </c>
      <c r="F41" s="103">
        <v>2.0999999999999999E-3</v>
      </c>
      <c r="G41" s="103">
        <v>7.9000000000000008E-3</v>
      </c>
      <c r="H41" s="102">
        <v>7.1999999999999998E-3</v>
      </c>
      <c r="I41" s="103">
        <v>6.7000000000000002E-3</v>
      </c>
      <c r="J41" s="103">
        <v>1.6899999999999998E-2</v>
      </c>
      <c r="K41" s="102">
        <v>8.6E-3</v>
      </c>
      <c r="L41" s="102">
        <v>1.17E-2</v>
      </c>
      <c r="M41" s="102">
        <f t="shared" si="3"/>
        <v>2.6844444444444445E-2</v>
      </c>
      <c r="N41" s="102"/>
      <c r="P41" s="2" t="s">
        <v>17</v>
      </c>
      <c r="Q41" s="102">
        <v>0.18690000000000001</v>
      </c>
      <c r="R41" s="102">
        <v>0.1825</v>
      </c>
      <c r="S41" s="102">
        <v>2.5899999999999999E-2</v>
      </c>
      <c r="T41" s="102">
        <f>AVERAGE(Q41:S41)</f>
        <v>0.13176666666666667</v>
      </c>
    </row>
    <row r="42" spans="2:20" x14ac:dyDescent="0.35">
      <c r="B42" s="2" t="s">
        <v>12</v>
      </c>
      <c r="C42" s="102">
        <v>1.4500000000000001E-2</v>
      </c>
      <c r="D42" s="102">
        <v>1.32E-2</v>
      </c>
      <c r="E42" s="102">
        <v>1.6E-2</v>
      </c>
      <c r="F42" s="103">
        <v>5.3999999999999999E-2</v>
      </c>
      <c r="G42" s="103">
        <v>1.47E-2</v>
      </c>
      <c r="H42" s="102">
        <v>8.9999999999999993E-3</v>
      </c>
      <c r="I42" s="103">
        <v>1.0500000000000001E-2</v>
      </c>
      <c r="J42" s="103">
        <v>1.12E-2</v>
      </c>
      <c r="K42" s="102">
        <v>9.1999999999999998E-3</v>
      </c>
      <c r="L42" s="102">
        <v>3.04E-2</v>
      </c>
      <c r="M42" s="102">
        <f t="shared" si="3"/>
        <v>1.692222222222222E-2</v>
      </c>
      <c r="N42" s="102"/>
      <c r="P42" s="2" t="s">
        <v>12</v>
      </c>
      <c r="Q42" s="102">
        <v>2.4E-2</v>
      </c>
      <c r="R42" s="102">
        <v>0.1075</v>
      </c>
      <c r="S42" s="102">
        <v>2.6499999999999999E-2</v>
      </c>
      <c r="T42" s="102">
        <f>AVERAGE(Q42:S42)</f>
        <v>5.2666666666666667E-2</v>
      </c>
    </row>
    <row r="43" spans="2:20" x14ac:dyDescent="0.35">
      <c r="B43" s="2" t="s">
        <v>19</v>
      </c>
      <c r="C43" s="102">
        <v>0.1762</v>
      </c>
      <c r="D43" s="102">
        <v>1.54E-2</v>
      </c>
      <c r="E43" s="102">
        <v>1.49E-2</v>
      </c>
      <c r="F43" s="103">
        <v>7.4999999999999997E-3</v>
      </c>
      <c r="G43" s="103">
        <v>8.9999999999999993E-3</v>
      </c>
      <c r="H43" s="102">
        <v>7.9000000000000008E-3</v>
      </c>
      <c r="I43" s="103">
        <v>3.0200000000000001E-2</v>
      </c>
      <c r="J43" s="103">
        <v>1.9E-2</v>
      </c>
      <c r="K43" s="102">
        <v>1.6400000000000001E-2</v>
      </c>
      <c r="L43" s="102">
        <v>6.8999999999999999E-3</v>
      </c>
      <c r="M43" s="102">
        <f t="shared" si="3"/>
        <v>3.294444444444445E-2</v>
      </c>
      <c r="N43" s="102"/>
      <c r="P43" s="2" t="s">
        <v>19</v>
      </c>
      <c r="Q43" s="102">
        <v>5.1400000000000001E-2</v>
      </c>
      <c r="R43" s="102">
        <v>0.2021</v>
      </c>
      <c r="S43" s="102">
        <v>0.32850000000000001</v>
      </c>
      <c r="T43" s="102">
        <f>AVERAGE(Q43:S43)</f>
        <v>0.19400000000000003</v>
      </c>
    </row>
    <row r="44" spans="2:20" x14ac:dyDescent="0.35">
      <c r="B44" s="2" t="s">
        <v>26</v>
      </c>
      <c r="C44" s="102">
        <v>1.44E-2</v>
      </c>
      <c r="D44" s="102">
        <v>5.0900000000000001E-2</v>
      </c>
      <c r="E44" s="102">
        <v>3.2300000000000002E-2</v>
      </c>
      <c r="F44" s="103">
        <v>1.7500000000000002E-2</v>
      </c>
      <c r="G44" s="103">
        <v>4.7300000000000002E-2</v>
      </c>
      <c r="H44" s="102">
        <v>2.6599999999999999E-2</v>
      </c>
      <c r="I44" s="103">
        <v>1.66E-2</v>
      </c>
      <c r="J44" s="103">
        <v>4.4400000000000002E-2</v>
      </c>
      <c r="K44" s="102">
        <v>2.93E-2</v>
      </c>
      <c r="L44" s="102">
        <v>2.4299999999999999E-2</v>
      </c>
      <c r="M44" s="102">
        <f t="shared" si="3"/>
        <v>3.1033333333333333E-2</v>
      </c>
      <c r="N44" s="102"/>
      <c r="P44" s="2" t="s">
        <v>26</v>
      </c>
      <c r="Q44" s="102">
        <v>3.3500000000000002E-2</v>
      </c>
      <c r="R44" s="102">
        <v>4.2500000000000003E-2</v>
      </c>
      <c r="S44" s="102">
        <v>0.21199999999999999</v>
      </c>
      <c r="T44" s="102">
        <f>AVERAGE(Q44:S44)</f>
        <v>9.6000000000000016E-2</v>
      </c>
    </row>
    <row r="45" spans="2:20" x14ac:dyDescent="0.35">
      <c r="B45" s="2" t="s">
        <v>13</v>
      </c>
      <c r="C45" s="102">
        <v>1.2699999999999999E-2</v>
      </c>
      <c r="D45" s="102">
        <v>5.04E-2</v>
      </c>
      <c r="E45" s="102">
        <v>2.1100000000000001E-2</v>
      </c>
      <c r="F45" s="103">
        <v>6.3E-3</v>
      </c>
      <c r="G45" s="103">
        <v>4.1000000000000003E-3</v>
      </c>
      <c r="H45" s="102">
        <v>7.0000000000000001E-3</v>
      </c>
      <c r="I45" s="103">
        <v>1.77E-2</v>
      </c>
      <c r="J45" s="103">
        <v>9.7999999999999997E-3</v>
      </c>
      <c r="K45" s="102">
        <v>1.5299999999999999E-2</v>
      </c>
      <c r="L45" s="102">
        <v>2.8799999999999999E-2</v>
      </c>
      <c r="M45" s="102">
        <f t="shared" si="3"/>
        <v>1.6044444444444448E-2</v>
      </c>
      <c r="N45" s="102"/>
      <c r="P45" s="2" t="s">
        <v>13</v>
      </c>
      <c r="Q45" s="102">
        <v>6.1699999999999998E-2</v>
      </c>
      <c r="R45" s="102">
        <v>0.10489999999999999</v>
      </c>
      <c r="S45" s="102">
        <v>1.6899999999999998E-2</v>
      </c>
      <c r="T45" s="102">
        <f>AVERAGE(Q45:S45)</f>
        <v>6.1166666666666668E-2</v>
      </c>
    </row>
    <row r="46" spans="2:20" x14ac:dyDescent="0.35">
      <c r="B46" s="2" t="s">
        <v>20</v>
      </c>
      <c r="C46" s="102">
        <v>4.4400000000000002E-2</v>
      </c>
      <c r="D46" s="102">
        <v>1.2999999999999999E-2</v>
      </c>
      <c r="E46" s="102">
        <v>1.03E-2</v>
      </c>
      <c r="F46" s="103">
        <v>1.84E-2</v>
      </c>
      <c r="G46" s="103">
        <v>1.0800000000000001E-2</v>
      </c>
      <c r="H46" s="102">
        <v>1.3299999999999999E-2</v>
      </c>
      <c r="I46" s="103">
        <v>1.9599999999999999E-2</v>
      </c>
      <c r="J46" s="103">
        <v>3.0599999999999999E-2</v>
      </c>
      <c r="K46" s="102">
        <v>2.92E-2</v>
      </c>
      <c r="L46" s="102">
        <v>2.1700000000000001E-2</v>
      </c>
      <c r="M46" s="102">
        <f t="shared" si="3"/>
        <v>2.1066666666666664E-2</v>
      </c>
      <c r="N46" s="102"/>
      <c r="P46" s="2" t="s">
        <v>20</v>
      </c>
      <c r="Q46" s="102">
        <v>0.1077</v>
      </c>
      <c r="R46" s="102">
        <v>0.1386</v>
      </c>
      <c r="S46" s="102">
        <v>0.17749999999999999</v>
      </c>
      <c r="T46" s="102">
        <f>AVERAGE(Q46:S46)</f>
        <v>0.14126666666666668</v>
      </c>
    </row>
    <row r="47" spans="2:20" x14ac:dyDescent="0.35">
      <c r="B47" s="2" t="s">
        <v>18</v>
      </c>
      <c r="C47" s="102">
        <v>2.9499999999999998E-2</v>
      </c>
      <c r="D47" s="102">
        <v>2.3E-2</v>
      </c>
      <c r="E47" s="102">
        <v>1.8499999999999999E-2</v>
      </c>
      <c r="F47" s="103">
        <v>1.09E-2</v>
      </c>
      <c r="G47" s="103">
        <v>1.7600000000000001E-2</v>
      </c>
      <c r="H47" s="102">
        <v>1.55E-2</v>
      </c>
      <c r="I47" s="103">
        <v>6.0000000000000001E-3</v>
      </c>
      <c r="J47" s="103">
        <v>1.34E-2</v>
      </c>
      <c r="K47" s="105">
        <v>1.34E-2</v>
      </c>
      <c r="L47" s="102">
        <v>1.7000000000000001E-2</v>
      </c>
      <c r="M47" s="102">
        <f t="shared" si="3"/>
        <v>1.6422222222222223E-2</v>
      </c>
      <c r="N47" s="102"/>
      <c r="P47" s="2" t="s">
        <v>18</v>
      </c>
      <c r="Q47" s="102">
        <v>7.22E-2</v>
      </c>
      <c r="R47" s="102">
        <v>5.8999999999999997E-2</v>
      </c>
      <c r="S47" s="102" t="s">
        <v>80</v>
      </c>
      <c r="T47" s="102">
        <f>AVERAGE(Q47:S47)</f>
        <v>6.5599999999999992E-2</v>
      </c>
    </row>
    <row r="48" spans="2:20" x14ac:dyDescent="0.35">
      <c r="B48" s="22" t="s">
        <v>62</v>
      </c>
      <c r="C48" s="102">
        <v>6.93E-2</v>
      </c>
      <c r="D48" s="102">
        <v>0.1225</v>
      </c>
      <c r="E48" s="102">
        <v>0.1575</v>
      </c>
      <c r="F48" s="105">
        <v>0.16539999999999999</v>
      </c>
      <c r="G48" s="105">
        <v>0.21640000000000001</v>
      </c>
      <c r="H48" s="102">
        <v>5.9799999999999999E-2</v>
      </c>
      <c r="I48" s="103">
        <v>6.7400000000000002E-2</v>
      </c>
      <c r="J48" s="103">
        <v>5.7099999999999998E-2</v>
      </c>
      <c r="K48" s="105">
        <v>5.7099999999999998E-2</v>
      </c>
      <c r="L48" s="102">
        <v>0</v>
      </c>
      <c r="M48" s="102">
        <f t="shared" si="3"/>
        <v>0.10805555555555556</v>
      </c>
      <c r="N48" s="102"/>
      <c r="P48" s="22" t="s">
        <v>62</v>
      </c>
      <c r="Q48" s="102">
        <v>0.22520000000000001</v>
      </c>
      <c r="R48" s="102">
        <v>7.7899999999999997E-2</v>
      </c>
      <c r="S48" s="102">
        <v>0.22969999999999999</v>
      </c>
      <c r="T48" s="102">
        <f>AVERAGE(Q48:S48)</f>
        <v>0.17760000000000001</v>
      </c>
    </row>
    <row r="49" spans="2:20" x14ac:dyDescent="0.35">
      <c r="B49" s="2" t="s">
        <v>14</v>
      </c>
      <c r="C49" s="102">
        <v>3.0300000000000001E-2</v>
      </c>
      <c r="D49" s="102">
        <v>1.06E-2</v>
      </c>
      <c r="E49" s="102">
        <v>6.3799999999999996E-2</v>
      </c>
      <c r="F49" s="103">
        <v>1.6299999999999999E-2</v>
      </c>
      <c r="G49" s="103">
        <v>1.83E-2</v>
      </c>
      <c r="H49" s="102">
        <v>2.2200000000000001E-2</v>
      </c>
      <c r="I49" s="103">
        <v>3.8199999999999998E-2</v>
      </c>
      <c r="J49" s="103">
        <v>2.7199999999999998E-2</v>
      </c>
      <c r="K49" s="105">
        <v>2.5700000000000001E-2</v>
      </c>
      <c r="L49" s="102">
        <v>2.52E-2</v>
      </c>
      <c r="M49" s="102">
        <f t="shared" si="3"/>
        <v>2.8066666666666667E-2</v>
      </c>
      <c r="N49" s="102"/>
      <c r="P49" s="2" t="s">
        <v>14</v>
      </c>
      <c r="Q49" s="102">
        <v>8.4699999999999998E-2</v>
      </c>
      <c r="R49" s="102">
        <v>1.9900000000000001E-2</v>
      </c>
      <c r="S49" s="102">
        <v>0.1173</v>
      </c>
      <c r="T49" s="102">
        <f>AVERAGE(Q49:S49)</f>
        <v>7.3966666666666667E-2</v>
      </c>
    </row>
    <row r="50" spans="2:20" x14ac:dyDescent="0.35">
      <c r="B50" s="64" t="s">
        <v>22</v>
      </c>
      <c r="C50" s="106">
        <f t="shared" ref="C50:L50" si="4">AVERAGE(C28:C49)</f>
        <v>0.11708636363636367</v>
      </c>
      <c r="D50" s="106">
        <f t="shared" si="4"/>
        <v>2.3418181818181817E-2</v>
      </c>
      <c r="E50" s="106">
        <f t="shared" si="4"/>
        <v>2.4604545454545455E-2</v>
      </c>
      <c r="F50" s="106">
        <f>AVERAGE(F28:F49)</f>
        <v>2.8899999999999995E-2</v>
      </c>
      <c r="G50" s="106">
        <f>AVERAGE(G28:G49)</f>
        <v>2.7190909090909089E-2</v>
      </c>
      <c r="H50" s="106">
        <f>AVERAGE(H28:H49)</f>
        <v>1.5713636363636364E-2</v>
      </c>
      <c r="I50" s="106">
        <f>AVERAGE(I28:I49)</f>
        <v>1.9763636363636365E-2</v>
      </c>
      <c r="J50" s="106">
        <f>AVERAGE(J28:J49)</f>
        <v>2.4190909090909093E-2</v>
      </c>
      <c r="K50" s="106">
        <f t="shared" si="4"/>
        <v>2.2100000000000002E-2</v>
      </c>
      <c r="L50" s="106">
        <f t="shared" si="4"/>
        <v>2.0154545454545456E-2</v>
      </c>
      <c r="M50" s="108">
        <f>AVERAGE(M28:M49)</f>
        <v>3.3663131313131318E-2</v>
      </c>
      <c r="N50" s="102"/>
      <c r="P50" s="64" t="s">
        <v>22</v>
      </c>
      <c r="Q50" s="108">
        <f>AVERAGE(Q28:Q49)</f>
        <v>7.1004545454545459E-2</v>
      </c>
      <c r="R50" s="108">
        <f>AVERAGE(R28:R49)</f>
        <v>9.3149999999999983E-2</v>
      </c>
      <c r="S50" s="108">
        <f>AVERAGE(S28:S49)</f>
        <v>0.15384285714285714</v>
      </c>
      <c r="T50" s="108">
        <f>AVERAGE(T28:T49)</f>
        <v>0.10466212121212121</v>
      </c>
    </row>
    <row r="53" spans="2:20" x14ac:dyDescent="0.35">
      <c r="B53"/>
      <c r="C53"/>
      <c r="D53"/>
      <c r="E53"/>
      <c r="F53"/>
      <c r="G53"/>
      <c r="H53"/>
    </row>
    <row r="54" spans="2:20" x14ac:dyDescent="0.35">
      <c r="B54"/>
      <c r="C54"/>
      <c r="D54"/>
      <c r="E54"/>
      <c r="F54"/>
      <c r="G54"/>
      <c r="H54"/>
    </row>
    <row r="55" spans="2:20" x14ac:dyDescent="0.35">
      <c r="B55"/>
      <c r="C55"/>
      <c r="D55"/>
      <c r="E55"/>
      <c r="F55"/>
      <c r="G55"/>
      <c r="H55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76F4-5D9B-4945-984A-16FAAE491FC2}">
  <dimension ref="A1:AK56"/>
  <sheetViews>
    <sheetView tabSelected="1" topLeftCell="A23" workbookViewId="0">
      <selection activeCell="J30" activeCellId="3" sqref="D30:D52 F30:F52 H30:H52 J30:J52"/>
    </sheetView>
  </sheetViews>
  <sheetFormatPr defaultRowHeight="14.5" x14ac:dyDescent="0.35"/>
  <cols>
    <col min="2" max="2" width="15" style="2" customWidth="1"/>
    <col min="3" max="4" width="12.26953125" style="1" customWidth="1"/>
    <col min="5" max="8" width="11.54296875" style="5" customWidth="1"/>
    <col min="9" max="10" width="11.453125" style="1" customWidth="1"/>
    <col min="11" max="12" width="12.6328125" style="1" customWidth="1"/>
    <col min="13" max="14" width="11.1796875" style="1" customWidth="1"/>
    <col min="15" max="18" width="12.6328125" customWidth="1"/>
    <col min="19" max="20" width="12.7265625" customWidth="1"/>
    <col min="21" max="22" width="11.26953125" customWidth="1"/>
    <col min="23" max="25" width="13.90625" customWidth="1"/>
    <col min="27" max="27" width="19.1796875" customWidth="1"/>
    <col min="30" max="30" width="7.81640625" customWidth="1"/>
  </cols>
  <sheetData>
    <row r="1" spans="1:37" ht="29.5" customHeight="1" x14ac:dyDescent="0.35">
      <c r="A1" t="s">
        <v>21</v>
      </c>
      <c r="B1" s="62" t="s">
        <v>0</v>
      </c>
      <c r="C1" s="158" t="s">
        <v>60</v>
      </c>
      <c r="D1" s="152"/>
      <c r="E1" s="162" t="s">
        <v>83</v>
      </c>
      <c r="F1" s="153"/>
      <c r="G1" s="162" t="s">
        <v>84</v>
      </c>
      <c r="H1" s="171"/>
      <c r="I1" s="163" t="s">
        <v>85</v>
      </c>
      <c r="J1" s="155"/>
      <c r="K1" s="163" t="s">
        <v>15</v>
      </c>
      <c r="L1" s="155"/>
      <c r="M1" s="163" t="s">
        <v>75</v>
      </c>
      <c r="N1" s="155"/>
      <c r="O1" s="163" t="s">
        <v>86</v>
      </c>
      <c r="P1" s="155"/>
      <c r="Q1" s="163" t="s">
        <v>16</v>
      </c>
      <c r="R1" s="155"/>
      <c r="S1" s="163" t="s">
        <v>55</v>
      </c>
      <c r="T1" s="155"/>
      <c r="U1" s="163" t="s">
        <v>65</v>
      </c>
      <c r="V1" s="155"/>
      <c r="W1" s="163" t="s">
        <v>22</v>
      </c>
      <c r="X1" s="155"/>
      <c r="Y1" s="139"/>
      <c r="AK1" s="6" t="s">
        <v>54</v>
      </c>
    </row>
    <row r="2" spans="1:37" x14ac:dyDescent="0.35">
      <c r="A2">
        <v>28</v>
      </c>
      <c r="B2" s="2" t="s">
        <v>5</v>
      </c>
      <c r="C2" s="159">
        <v>0.48470000000000002</v>
      </c>
      <c r="D2" s="160">
        <v>0.34870000000000001</v>
      </c>
      <c r="E2" s="159">
        <v>0.89249999999999996</v>
      </c>
      <c r="F2" s="160">
        <v>5.7999999999999996E-3</v>
      </c>
      <c r="G2" s="159">
        <v>0.879</v>
      </c>
      <c r="H2" s="136">
        <v>8.5000000000000006E-3</v>
      </c>
      <c r="I2" s="164">
        <v>0.89246000000000003</v>
      </c>
      <c r="J2" s="165">
        <v>1.1599999999999999E-2</v>
      </c>
      <c r="K2" s="164">
        <v>0.89390000000000003</v>
      </c>
      <c r="L2" s="165">
        <v>1.21E-2</v>
      </c>
      <c r="M2" s="159">
        <v>0.89059999999999995</v>
      </c>
      <c r="N2" s="160">
        <v>5.3E-3</v>
      </c>
      <c r="O2" s="164">
        <v>0.88919999999999999</v>
      </c>
      <c r="P2" s="165">
        <v>9.7999999999999997E-3</v>
      </c>
      <c r="Q2" s="164">
        <v>0.89200000000000002</v>
      </c>
      <c r="R2" s="165">
        <v>1.3899999999999999E-2</v>
      </c>
      <c r="S2" s="167">
        <v>0.90359999999999996</v>
      </c>
      <c r="T2" s="160">
        <v>1.52E-2</v>
      </c>
      <c r="U2" s="159">
        <v>0.88919999999999999</v>
      </c>
      <c r="V2" s="160">
        <v>2.7400000000000001E-2</v>
      </c>
      <c r="W2" s="159">
        <f t="shared" ref="W2:X23" si="0">AVERAGE(C2:S2)</f>
        <v>0.47256823529411773</v>
      </c>
      <c r="X2" s="160">
        <f t="shared" si="0"/>
        <v>0.44495058823529421</v>
      </c>
      <c r="Y2" s="102">
        <f>_xlfn.STDEV.S(C2:U2)</f>
        <v>0.42844674973567509</v>
      </c>
      <c r="AK2" s="11">
        <v>0.88170000000000004</v>
      </c>
    </row>
    <row r="3" spans="1:37" x14ac:dyDescent="0.35">
      <c r="A3">
        <v>22</v>
      </c>
      <c r="B3" s="2" t="s">
        <v>6</v>
      </c>
      <c r="C3" s="159">
        <v>0.50870000000000004</v>
      </c>
      <c r="D3" s="160">
        <v>1.9400000000000001E-2</v>
      </c>
      <c r="E3" s="159">
        <v>0.65839999999999999</v>
      </c>
      <c r="F3" s="160">
        <v>2.3E-2</v>
      </c>
      <c r="G3" s="159">
        <v>0.65649999999999997</v>
      </c>
      <c r="H3" s="136">
        <v>8.2000000000000007E-3</v>
      </c>
      <c r="I3" s="164">
        <v>0.65498000000000001</v>
      </c>
      <c r="J3" s="165">
        <v>3.8699999999999998E-2</v>
      </c>
      <c r="K3" s="164">
        <v>0.67190000000000005</v>
      </c>
      <c r="L3" s="165">
        <v>3.6499999999999998E-2</v>
      </c>
      <c r="M3" s="159">
        <v>0.70040000000000002</v>
      </c>
      <c r="N3" s="160">
        <v>1.9099999999999999E-2</v>
      </c>
      <c r="O3" s="164">
        <v>0.68452000000000002</v>
      </c>
      <c r="P3" s="165">
        <v>1.7500000000000002E-2</v>
      </c>
      <c r="Q3" s="164">
        <v>0.68755999999999995</v>
      </c>
      <c r="R3" s="165">
        <v>3.27E-2</v>
      </c>
      <c r="S3" s="159">
        <v>0.67800000000000005</v>
      </c>
      <c r="T3" s="160">
        <v>4.1700000000000001E-2</v>
      </c>
      <c r="U3" s="167">
        <v>0.72509999999999997</v>
      </c>
      <c r="V3" s="160">
        <v>2.4E-2</v>
      </c>
      <c r="W3" s="159">
        <f t="shared" si="0"/>
        <v>0.35859176470588239</v>
      </c>
      <c r="X3" s="160">
        <f t="shared" si="0"/>
        <v>0.3311211764705882</v>
      </c>
      <c r="Y3" s="102">
        <f t="shared" ref="Y3:Y23" si="1">_xlfn.STDEV.S(C3:U3)</f>
        <v>0.32909155600519147</v>
      </c>
      <c r="AK3" s="11">
        <v>0.70679999999999998</v>
      </c>
    </row>
    <row r="4" spans="1:37" x14ac:dyDescent="0.35">
      <c r="A4">
        <v>26</v>
      </c>
      <c r="B4" s="2" t="s">
        <v>7</v>
      </c>
      <c r="C4" s="159">
        <v>0.21460000000000001</v>
      </c>
      <c r="D4" s="160">
        <v>0.21460000000000001</v>
      </c>
      <c r="E4" s="159">
        <v>0.71850000000000003</v>
      </c>
      <c r="F4" s="160">
        <v>1.6999999999999999E-3</v>
      </c>
      <c r="G4" s="159">
        <v>0.66800000000000004</v>
      </c>
      <c r="H4" s="136">
        <v>4.4499999999999998E-2</v>
      </c>
      <c r="I4" s="164">
        <v>0.70698000000000005</v>
      </c>
      <c r="J4" s="165">
        <v>7.7000000000000002E-3</v>
      </c>
      <c r="K4" s="164">
        <v>0.74516000000000004</v>
      </c>
      <c r="L4" s="165">
        <v>9.7000000000000003E-3</v>
      </c>
      <c r="M4" s="159">
        <v>0.73740000000000006</v>
      </c>
      <c r="N4" s="160">
        <v>1.14E-2</v>
      </c>
      <c r="O4" s="164">
        <v>0.71242000000000005</v>
      </c>
      <c r="P4" s="165">
        <v>0.01</v>
      </c>
      <c r="Q4" s="164">
        <v>0.74180000000000001</v>
      </c>
      <c r="R4" s="165">
        <v>3.0000000000000001E-3</v>
      </c>
      <c r="S4" s="159">
        <v>0.7429</v>
      </c>
      <c r="T4" s="160">
        <v>1.23E-2</v>
      </c>
      <c r="U4" s="167">
        <v>0.76200000000000001</v>
      </c>
      <c r="V4" s="160">
        <v>1.1900000000000001E-2</v>
      </c>
      <c r="W4" s="159">
        <f t="shared" si="0"/>
        <v>0.37002117647058819</v>
      </c>
      <c r="X4" s="160">
        <f t="shared" si="0"/>
        <v>0.35812117647058822</v>
      </c>
      <c r="Y4" s="102">
        <f t="shared" si="1"/>
        <v>0.35114768381402345</v>
      </c>
      <c r="AK4" s="11">
        <v>0.72889999999999999</v>
      </c>
    </row>
    <row r="5" spans="1:37" x14ac:dyDescent="0.35">
      <c r="A5">
        <v>40</v>
      </c>
      <c r="B5" s="2" t="s">
        <v>27</v>
      </c>
      <c r="C5" s="159">
        <v>0.30549999999999999</v>
      </c>
      <c r="D5" s="160">
        <v>0.16070000000000001</v>
      </c>
      <c r="E5" s="159">
        <v>0.77380000000000004</v>
      </c>
      <c r="F5" s="160">
        <v>1.26E-2</v>
      </c>
      <c r="G5" s="159">
        <v>0.75360000000000005</v>
      </c>
      <c r="H5" s="136">
        <v>1.29E-2</v>
      </c>
      <c r="I5" s="164">
        <v>0.75429999999999997</v>
      </c>
      <c r="J5" s="165">
        <v>1.0500000000000001E-2</v>
      </c>
      <c r="K5" s="164">
        <v>0.79893999999999998</v>
      </c>
      <c r="L5" s="165">
        <v>1.3899999999999999E-2</v>
      </c>
      <c r="M5" s="159">
        <v>0.80189999999999995</v>
      </c>
      <c r="N5" s="160">
        <v>7.0000000000000001E-3</v>
      </c>
      <c r="O5" s="164">
        <v>0.77712000000000003</v>
      </c>
      <c r="P5" s="165">
        <v>5.4000000000000003E-3</v>
      </c>
      <c r="Q5" s="164">
        <v>0.78342000000000001</v>
      </c>
      <c r="R5" s="165">
        <v>8.3000000000000001E-3</v>
      </c>
      <c r="S5" s="159">
        <v>0.78900000000000003</v>
      </c>
      <c r="T5" s="160">
        <v>8.3999999999999995E-3</v>
      </c>
      <c r="U5" s="167">
        <v>0.80520000000000003</v>
      </c>
      <c r="V5" s="160">
        <v>9.4000000000000004E-3</v>
      </c>
      <c r="W5" s="159">
        <f t="shared" si="0"/>
        <v>0.39816941176470583</v>
      </c>
      <c r="X5" s="160">
        <f t="shared" si="0"/>
        <v>0.38069294117647051</v>
      </c>
      <c r="Y5" s="102">
        <f t="shared" si="1"/>
        <v>0.38002396701580909</v>
      </c>
      <c r="AK5" s="11">
        <v>0.78210000000000002</v>
      </c>
    </row>
    <row r="6" spans="1:37" x14ac:dyDescent="0.35">
      <c r="A6">
        <v>16</v>
      </c>
      <c r="B6" s="2" t="s">
        <v>8</v>
      </c>
      <c r="C6" s="159">
        <v>0.28810000000000002</v>
      </c>
      <c r="D6" s="160">
        <v>0.2331</v>
      </c>
      <c r="E6" s="159">
        <v>0.68430000000000002</v>
      </c>
      <c r="F6" s="160">
        <v>2.9399999999999999E-2</v>
      </c>
      <c r="G6" s="159">
        <v>0.68079999999999996</v>
      </c>
      <c r="H6" s="136">
        <v>0.02</v>
      </c>
      <c r="I6" s="164">
        <v>0.67513999999999996</v>
      </c>
      <c r="J6" s="165">
        <v>5.7599999999999998E-2</v>
      </c>
      <c r="K6" s="164">
        <v>0.73065999999999998</v>
      </c>
      <c r="L6" s="165">
        <v>2.5100000000000001E-2</v>
      </c>
      <c r="M6" s="159">
        <v>0.73440000000000005</v>
      </c>
      <c r="N6" s="160">
        <v>2.53E-2</v>
      </c>
      <c r="O6" s="164">
        <v>0.73262000000000005</v>
      </c>
      <c r="P6" s="165">
        <v>4.3E-3</v>
      </c>
      <c r="Q6" s="164">
        <v>0.72463999999999995</v>
      </c>
      <c r="R6" s="165">
        <v>3.95E-2</v>
      </c>
      <c r="S6" s="159">
        <v>0.73070000000000002</v>
      </c>
      <c r="T6" s="160">
        <v>4.2200000000000001E-2</v>
      </c>
      <c r="U6" s="167">
        <v>0.74560000000000004</v>
      </c>
      <c r="V6" s="160">
        <v>3.2199999999999999E-2</v>
      </c>
      <c r="W6" s="159">
        <f t="shared" si="0"/>
        <v>0.37739176470588232</v>
      </c>
      <c r="X6" s="160">
        <f t="shared" si="0"/>
        <v>0.36292705882352944</v>
      </c>
      <c r="Y6" s="102">
        <f t="shared" si="1"/>
        <v>0.33565513143823494</v>
      </c>
      <c r="AK6" s="11">
        <v>0.72170000000000001</v>
      </c>
    </row>
    <row r="7" spans="1:37" x14ac:dyDescent="0.35">
      <c r="A7">
        <v>15</v>
      </c>
      <c r="B7" s="2" t="s">
        <v>9</v>
      </c>
      <c r="C7" s="159">
        <v>0.4824</v>
      </c>
      <c r="D7" s="160">
        <v>1.7000000000000001E-2</v>
      </c>
      <c r="E7" s="159">
        <v>0.68230000000000002</v>
      </c>
      <c r="F7" s="160">
        <v>2.92E-2</v>
      </c>
      <c r="G7" s="159">
        <v>0.68420000000000003</v>
      </c>
      <c r="H7" s="136">
        <v>1.29E-2</v>
      </c>
      <c r="I7" s="164">
        <v>0.67235999999999996</v>
      </c>
      <c r="J7" s="165">
        <v>4.9200000000000001E-2</v>
      </c>
      <c r="K7" s="164">
        <v>0.72470000000000001</v>
      </c>
      <c r="L7" s="165">
        <v>3.4599999999999999E-2</v>
      </c>
      <c r="M7" s="167">
        <v>0.74509999999999998</v>
      </c>
      <c r="N7" s="160">
        <v>8.0000000000000002E-3</v>
      </c>
      <c r="O7" s="164">
        <v>0.70152000000000003</v>
      </c>
      <c r="P7" s="165">
        <v>0.03</v>
      </c>
      <c r="Q7" s="164">
        <v>0.71423999999999999</v>
      </c>
      <c r="R7" s="165">
        <v>3.2500000000000001E-2</v>
      </c>
      <c r="S7" s="159">
        <v>0.70809999999999995</v>
      </c>
      <c r="T7" s="160">
        <v>6.0900000000000003E-2</v>
      </c>
      <c r="U7" s="159">
        <v>0.72889999999999999</v>
      </c>
      <c r="V7" s="160">
        <v>1.72E-2</v>
      </c>
      <c r="W7" s="159">
        <f t="shared" si="0"/>
        <v>0.37225411764705885</v>
      </c>
      <c r="X7" s="160">
        <f t="shared" si="0"/>
        <v>0.34746000000000005</v>
      </c>
      <c r="Y7" s="102">
        <f t="shared" si="1"/>
        <v>0.33974762580445794</v>
      </c>
      <c r="AK7" s="11">
        <v>0.73429999999999995</v>
      </c>
    </row>
    <row r="8" spans="1:37" x14ac:dyDescent="0.35">
      <c r="A8">
        <v>23</v>
      </c>
      <c r="B8" s="2" t="s">
        <v>28</v>
      </c>
      <c r="C8" s="159">
        <v>0.20780000000000001</v>
      </c>
      <c r="D8" s="160">
        <v>0.13980000000000001</v>
      </c>
      <c r="E8" s="159">
        <v>0.70040000000000002</v>
      </c>
      <c r="F8" s="160">
        <v>1.09E-2</v>
      </c>
      <c r="G8" s="159">
        <v>0.67190000000000005</v>
      </c>
      <c r="H8" s="136">
        <v>1.4E-2</v>
      </c>
      <c r="I8" s="164">
        <v>0.69725999999999999</v>
      </c>
      <c r="J8" s="165">
        <v>1.4200000000000001E-2</v>
      </c>
      <c r="K8" s="164">
        <v>0.74939999999999996</v>
      </c>
      <c r="L8" s="165">
        <v>2.1100000000000001E-2</v>
      </c>
      <c r="M8" s="159">
        <v>0.751</v>
      </c>
      <c r="N8" s="160">
        <v>1.35E-2</v>
      </c>
      <c r="O8" s="164">
        <v>0.67279999999999995</v>
      </c>
      <c r="P8" s="165">
        <v>1.5299999999999999E-2</v>
      </c>
      <c r="Q8" s="164">
        <v>0.68413999999999997</v>
      </c>
      <c r="R8" s="165">
        <v>1.7899999999999999E-2</v>
      </c>
      <c r="S8" s="159">
        <v>0.70499999999999996</v>
      </c>
      <c r="T8" s="160">
        <v>9.7999999999999997E-3</v>
      </c>
      <c r="U8" s="167">
        <v>0.7591</v>
      </c>
      <c r="V8" s="160">
        <v>1.11E-2</v>
      </c>
      <c r="W8" s="159">
        <f t="shared" si="0"/>
        <v>0.35802352941176474</v>
      </c>
      <c r="X8" s="160">
        <f t="shared" si="0"/>
        <v>0.34637647058823534</v>
      </c>
      <c r="Y8" s="102">
        <f t="shared" si="1"/>
        <v>0.3447091234870418</v>
      </c>
      <c r="AK8" s="11">
        <v>0.67889999999999995</v>
      </c>
    </row>
    <row r="9" spans="1:37" x14ac:dyDescent="0.35">
      <c r="A9">
        <v>6</v>
      </c>
      <c r="B9" s="2" t="s">
        <v>10</v>
      </c>
      <c r="C9" s="159">
        <v>0.27089999999999997</v>
      </c>
      <c r="D9" s="160">
        <v>0.2175</v>
      </c>
      <c r="E9" s="159">
        <v>0.67410000000000003</v>
      </c>
      <c r="F9" s="160">
        <v>2.3300000000000001E-2</v>
      </c>
      <c r="G9" s="159">
        <v>0.66100000000000003</v>
      </c>
      <c r="H9" s="136">
        <v>2.4299999999999999E-2</v>
      </c>
      <c r="I9" s="164">
        <v>0.69084000000000001</v>
      </c>
      <c r="J9" s="165">
        <v>1.2E-2</v>
      </c>
      <c r="K9" s="164">
        <v>0.70786000000000004</v>
      </c>
      <c r="L9" s="165">
        <v>2.7799999999999998E-2</v>
      </c>
      <c r="M9" s="159">
        <v>0.71189999999999998</v>
      </c>
      <c r="N9" s="160">
        <v>2.7799999999999998E-2</v>
      </c>
      <c r="O9" s="164">
        <v>0.67676000000000003</v>
      </c>
      <c r="P9" s="165">
        <v>4.5900000000000003E-2</v>
      </c>
      <c r="Q9" s="164">
        <v>0.72265999999999997</v>
      </c>
      <c r="R9" s="165">
        <v>3.0200000000000001E-2</v>
      </c>
      <c r="S9" s="159">
        <v>0.74019999999999997</v>
      </c>
      <c r="T9" s="160">
        <v>1.03E-2</v>
      </c>
      <c r="U9" s="167">
        <v>0.74770000000000003</v>
      </c>
      <c r="V9" s="160">
        <v>2.4899999999999999E-2</v>
      </c>
      <c r="W9" s="159">
        <f t="shared" si="0"/>
        <v>0.36853058823529411</v>
      </c>
      <c r="X9" s="160">
        <f t="shared" si="0"/>
        <v>0.35320117647058824</v>
      </c>
      <c r="Y9" s="102">
        <f t="shared" si="1"/>
        <v>0.33286264302331647</v>
      </c>
      <c r="AK9" s="11">
        <v>0.72109999999999996</v>
      </c>
    </row>
    <row r="10" spans="1:37" x14ac:dyDescent="0.35">
      <c r="A10">
        <v>9</v>
      </c>
      <c r="B10" s="2" t="s">
        <v>23</v>
      </c>
      <c r="C10" s="159">
        <v>0.23880000000000001</v>
      </c>
      <c r="D10" s="160">
        <v>0.19259999999999999</v>
      </c>
      <c r="E10" s="159">
        <v>0.78459999999999996</v>
      </c>
      <c r="F10" s="160">
        <v>1.5599999999999999E-2</v>
      </c>
      <c r="G10" s="159">
        <v>0.76100000000000001</v>
      </c>
      <c r="H10" s="136">
        <v>1.15E-2</v>
      </c>
      <c r="I10" s="164">
        <v>0.76537999999999995</v>
      </c>
      <c r="J10" s="165">
        <v>2.06E-2</v>
      </c>
      <c r="K10" s="164">
        <v>0.83265999999999996</v>
      </c>
      <c r="L10" s="165">
        <v>2.07E-2</v>
      </c>
      <c r="M10" s="167">
        <v>0.8367</v>
      </c>
      <c r="N10" s="160">
        <v>1.17E-2</v>
      </c>
      <c r="O10" s="164">
        <v>0.73834</v>
      </c>
      <c r="P10" s="165">
        <v>1.14E-2</v>
      </c>
      <c r="Q10" s="164">
        <v>0.7681</v>
      </c>
      <c r="R10" s="165">
        <v>2.6499999999999999E-2</v>
      </c>
      <c r="S10" s="159">
        <v>0.77759999999999996</v>
      </c>
      <c r="T10" s="160">
        <v>8.9999999999999993E-3</v>
      </c>
      <c r="U10" s="159">
        <v>0.82279999999999998</v>
      </c>
      <c r="V10" s="160">
        <v>3.1899999999999998E-2</v>
      </c>
      <c r="W10" s="159">
        <f t="shared" si="0"/>
        <v>0.40081058823529409</v>
      </c>
      <c r="X10" s="160">
        <f t="shared" si="0"/>
        <v>0.38729294117647062</v>
      </c>
      <c r="Y10" s="102">
        <f t="shared" si="1"/>
        <v>0.38082694025114949</v>
      </c>
      <c r="AK10" s="11">
        <v>0.76470000000000005</v>
      </c>
    </row>
    <row r="11" spans="1:37" x14ac:dyDescent="0.35">
      <c r="A11">
        <v>8</v>
      </c>
      <c r="B11" s="2" t="s">
        <v>29</v>
      </c>
      <c r="C11" s="159">
        <v>4.5600000000000002E-2</v>
      </c>
      <c r="D11" s="160">
        <v>2.2499999999999999E-2</v>
      </c>
      <c r="E11" s="159">
        <v>0.70469999999999999</v>
      </c>
      <c r="F11" s="160">
        <v>1.61E-2</v>
      </c>
      <c r="G11" s="159">
        <v>0.67020000000000002</v>
      </c>
      <c r="H11" s="136">
        <v>9.9000000000000008E-3</v>
      </c>
      <c r="I11" s="164">
        <v>0.65210000000000001</v>
      </c>
      <c r="J11" s="165">
        <v>3.8100000000000002E-2</v>
      </c>
      <c r="K11" s="164">
        <v>0.75129999999999997</v>
      </c>
      <c r="L11" s="165">
        <v>1.26E-2</v>
      </c>
      <c r="M11" s="167">
        <v>0.75360000000000005</v>
      </c>
      <c r="N11" s="160">
        <v>1.9E-2</v>
      </c>
      <c r="O11" s="164">
        <v>0.63488</v>
      </c>
      <c r="P11" s="165">
        <v>2.6200000000000001E-2</v>
      </c>
      <c r="Q11" s="164">
        <v>0.67349999999999999</v>
      </c>
      <c r="R11" s="165">
        <v>0.03</v>
      </c>
      <c r="S11" s="159">
        <v>0.67579999999999996</v>
      </c>
      <c r="T11" s="160">
        <v>9.7000000000000003E-3</v>
      </c>
      <c r="U11" s="159">
        <v>0.74990000000000001</v>
      </c>
      <c r="V11" s="160">
        <v>1.83E-2</v>
      </c>
      <c r="W11" s="159">
        <f t="shared" si="0"/>
        <v>0.33741647058823532</v>
      </c>
      <c r="X11" s="160">
        <f t="shared" si="0"/>
        <v>0.33530470588235289</v>
      </c>
      <c r="Y11" s="102">
        <f t="shared" si="1"/>
        <v>0.34680806660455327</v>
      </c>
      <c r="AK11" s="11">
        <v>0.64319999999999999</v>
      </c>
    </row>
    <row r="12" spans="1:37" x14ac:dyDescent="0.35">
      <c r="A12">
        <v>7</v>
      </c>
      <c r="B12" s="2" t="s">
        <v>11</v>
      </c>
      <c r="C12" s="159">
        <v>0.28170000000000001</v>
      </c>
      <c r="D12" s="160">
        <v>0.2271</v>
      </c>
      <c r="E12" s="159">
        <v>0.68869999999999998</v>
      </c>
      <c r="F12" s="160">
        <v>8.6999999999999994E-3</v>
      </c>
      <c r="G12" s="159">
        <v>0.66249999999999998</v>
      </c>
      <c r="H12" s="136">
        <v>1.2E-2</v>
      </c>
      <c r="I12" s="164">
        <v>0.69394</v>
      </c>
      <c r="J12" s="165">
        <v>8.3000000000000001E-3</v>
      </c>
      <c r="K12" s="164">
        <v>0.72728000000000004</v>
      </c>
      <c r="L12" s="165">
        <v>1.4E-2</v>
      </c>
      <c r="M12" s="159">
        <v>0.74109999999999998</v>
      </c>
      <c r="N12" s="160">
        <v>3.8999999999999998E-3</v>
      </c>
      <c r="O12" s="164">
        <v>0.68362000000000001</v>
      </c>
      <c r="P12" s="165">
        <v>1.1299999999999999E-2</v>
      </c>
      <c r="Q12" s="164">
        <v>0.71257999999999999</v>
      </c>
      <c r="R12" s="165">
        <v>2.4199999999999999E-2</v>
      </c>
      <c r="S12" s="159">
        <v>0.73450000000000004</v>
      </c>
      <c r="T12" s="160">
        <v>2.52E-2</v>
      </c>
      <c r="U12" s="167">
        <v>0.75139999999999996</v>
      </c>
      <c r="V12" s="160">
        <v>3.2899999999999999E-2</v>
      </c>
      <c r="W12" s="159">
        <f t="shared" si="0"/>
        <v>0.36678941176470592</v>
      </c>
      <c r="X12" s="160">
        <f t="shared" si="0"/>
        <v>0.35170117647058818</v>
      </c>
      <c r="Y12" s="102">
        <f t="shared" si="1"/>
        <v>0.34132881572873924</v>
      </c>
      <c r="AK12" s="11">
        <v>0.70640000000000003</v>
      </c>
    </row>
    <row r="13" spans="1:37" x14ac:dyDescent="0.35">
      <c r="A13">
        <v>14</v>
      </c>
      <c r="B13" s="2" t="s">
        <v>25</v>
      </c>
      <c r="C13" s="159">
        <v>5.5500000000000001E-2</v>
      </c>
      <c r="D13" s="160">
        <v>2.92E-2</v>
      </c>
      <c r="E13" s="159">
        <v>0.77490000000000003</v>
      </c>
      <c r="F13" s="160">
        <v>1.3899999999999999E-2</v>
      </c>
      <c r="G13" s="159">
        <v>0.75370000000000004</v>
      </c>
      <c r="H13" s="136">
        <v>8.0000000000000002E-3</v>
      </c>
      <c r="I13" s="164">
        <v>0.74156</v>
      </c>
      <c r="J13" s="165">
        <v>6.8999999999999999E-3</v>
      </c>
      <c r="K13" s="164">
        <v>0.82325999999999999</v>
      </c>
      <c r="L13" s="165">
        <v>5.4999999999999997E-3</v>
      </c>
      <c r="M13" s="167">
        <v>0.82879999999999998</v>
      </c>
      <c r="N13" s="160">
        <v>1.14E-2</v>
      </c>
      <c r="O13" s="164">
        <v>0.72070000000000001</v>
      </c>
      <c r="P13" s="165">
        <v>8.6E-3</v>
      </c>
      <c r="Q13" s="164">
        <v>0.754</v>
      </c>
      <c r="R13" s="165">
        <v>3.2199999999999999E-2</v>
      </c>
      <c r="S13" s="159">
        <v>0.74980000000000002</v>
      </c>
      <c r="T13" s="160">
        <v>1.4E-2</v>
      </c>
      <c r="U13" s="159">
        <v>0.81479999999999997</v>
      </c>
      <c r="V13" s="160">
        <v>2.3E-2</v>
      </c>
      <c r="W13" s="159">
        <f t="shared" si="0"/>
        <v>0.37164235294117653</v>
      </c>
      <c r="X13" s="160">
        <f t="shared" si="0"/>
        <v>0.36920117647058825</v>
      </c>
      <c r="Y13" s="102">
        <f t="shared" si="1"/>
        <v>0.38834762933703598</v>
      </c>
      <c r="AK13" s="11">
        <v>0.75239999999999996</v>
      </c>
    </row>
    <row r="14" spans="1:37" x14ac:dyDescent="0.35">
      <c r="A14">
        <v>13</v>
      </c>
      <c r="B14" s="2" t="s">
        <v>24</v>
      </c>
      <c r="C14" s="159">
        <v>0.45090000000000002</v>
      </c>
      <c r="D14" s="160">
        <v>0.1918</v>
      </c>
      <c r="E14" s="159">
        <v>0.79800000000000004</v>
      </c>
      <c r="F14" s="160">
        <v>1.5900000000000001E-2</v>
      </c>
      <c r="G14" s="159">
        <v>0.78359999999999996</v>
      </c>
      <c r="H14" s="136">
        <v>8.6999999999999994E-3</v>
      </c>
      <c r="I14" s="164">
        <v>0.78036000000000005</v>
      </c>
      <c r="J14" s="165">
        <v>6.2E-2</v>
      </c>
      <c r="K14" s="164">
        <v>0.84392</v>
      </c>
      <c r="L14" s="165">
        <v>1.8499999999999999E-2</v>
      </c>
      <c r="M14" s="159">
        <v>0.84030000000000005</v>
      </c>
      <c r="N14" s="160">
        <v>1.38E-2</v>
      </c>
      <c r="O14" s="164">
        <v>0.73858000000000001</v>
      </c>
      <c r="P14" s="165">
        <v>2.6200000000000001E-2</v>
      </c>
      <c r="Q14" s="164">
        <v>0.79288000000000003</v>
      </c>
      <c r="R14" s="165">
        <v>1.17E-2</v>
      </c>
      <c r="S14" s="159">
        <v>0.78600000000000003</v>
      </c>
      <c r="T14" s="160">
        <v>2.3300000000000001E-2</v>
      </c>
      <c r="U14" s="167">
        <v>0.84450000000000003</v>
      </c>
      <c r="V14" s="160">
        <v>1.32E-2</v>
      </c>
      <c r="W14" s="159">
        <f t="shared" si="0"/>
        <v>0.42136117647058824</v>
      </c>
      <c r="X14" s="160">
        <f t="shared" si="0"/>
        <v>0.39620823529411769</v>
      </c>
      <c r="Y14" s="102">
        <f t="shared" si="1"/>
        <v>0.38259918060397152</v>
      </c>
      <c r="AK14" s="11">
        <v>0.77049999999999996</v>
      </c>
    </row>
    <row r="15" spans="1:37" x14ac:dyDescent="0.35">
      <c r="A15">
        <v>69</v>
      </c>
      <c r="B15" s="2" t="s">
        <v>17</v>
      </c>
      <c r="C15" s="159">
        <v>0.38719999999999999</v>
      </c>
      <c r="D15" s="160">
        <v>0.1706</v>
      </c>
      <c r="E15" s="159">
        <v>0.74719999999999998</v>
      </c>
      <c r="F15" s="160">
        <v>1.01E-2</v>
      </c>
      <c r="G15" s="159">
        <v>0.72760000000000002</v>
      </c>
      <c r="H15" s="136">
        <v>1.15E-2</v>
      </c>
      <c r="I15" s="164">
        <v>0.74128000000000005</v>
      </c>
      <c r="J15" s="165">
        <v>2.0999999999999999E-3</v>
      </c>
      <c r="K15" s="164">
        <v>0.78586</v>
      </c>
      <c r="L15" s="165">
        <v>7.9000000000000008E-3</v>
      </c>
      <c r="M15" s="159">
        <v>0.79430000000000001</v>
      </c>
      <c r="N15" s="160">
        <v>7.1999999999999998E-3</v>
      </c>
      <c r="O15" s="164">
        <v>0.7339</v>
      </c>
      <c r="P15" s="165">
        <v>6.7000000000000002E-3</v>
      </c>
      <c r="Q15" s="164">
        <v>0.76232</v>
      </c>
      <c r="R15" s="165">
        <v>1.6899999999999998E-2</v>
      </c>
      <c r="S15" s="159">
        <v>0.77680000000000005</v>
      </c>
      <c r="T15" s="160">
        <v>8.6E-3</v>
      </c>
      <c r="U15" s="167">
        <v>0.80249999999999999</v>
      </c>
      <c r="V15" s="160">
        <v>1.17E-2</v>
      </c>
      <c r="W15" s="159">
        <f t="shared" si="0"/>
        <v>0.39349764705882351</v>
      </c>
      <c r="X15" s="160">
        <f t="shared" si="0"/>
        <v>0.37122705882352941</v>
      </c>
      <c r="Y15" s="102">
        <f t="shared" si="1"/>
        <v>0.37056088814736154</v>
      </c>
      <c r="AK15" s="11">
        <v>0.75880000000000003</v>
      </c>
    </row>
    <row r="16" spans="1:37" x14ac:dyDescent="0.35">
      <c r="A16">
        <v>81</v>
      </c>
      <c r="B16" s="2" t="s">
        <v>12</v>
      </c>
      <c r="C16" s="159">
        <v>0.438</v>
      </c>
      <c r="D16" s="160">
        <v>1.4500000000000001E-2</v>
      </c>
      <c r="E16" s="159">
        <v>0.6371</v>
      </c>
      <c r="F16" s="160">
        <v>1.32E-2</v>
      </c>
      <c r="G16" s="159">
        <v>0.62909999999999999</v>
      </c>
      <c r="H16" s="136">
        <v>1.6E-2</v>
      </c>
      <c r="I16" s="164">
        <v>0.62180000000000002</v>
      </c>
      <c r="J16" s="165">
        <v>5.3999999999999999E-2</v>
      </c>
      <c r="K16" s="164">
        <v>0.70731999999999995</v>
      </c>
      <c r="L16" s="165">
        <v>1.47E-2</v>
      </c>
      <c r="M16" s="159">
        <v>0.70930000000000004</v>
      </c>
      <c r="N16" s="160">
        <v>8.9999999999999993E-3</v>
      </c>
      <c r="O16" s="164">
        <v>0.66583999999999999</v>
      </c>
      <c r="P16" s="165">
        <v>1.0500000000000001E-2</v>
      </c>
      <c r="Q16" s="164">
        <v>0.68901999999999997</v>
      </c>
      <c r="R16" s="165">
        <v>1.12E-2</v>
      </c>
      <c r="S16" s="159">
        <v>0.71819999999999995</v>
      </c>
      <c r="T16" s="160">
        <v>9.1999999999999998E-3</v>
      </c>
      <c r="U16" s="167">
        <v>0.7198</v>
      </c>
      <c r="V16" s="160">
        <v>3.04E-2</v>
      </c>
      <c r="W16" s="159">
        <f t="shared" si="0"/>
        <v>0.35051647058823526</v>
      </c>
      <c r="X16" s="160">
        <f t="shared" si="0"/>
        <v>0.32529294117647062</v>
      </c>
      <c r="Y16" s="102">
        <f t="shared" si="1"/>
        <v>0.33214103980861243</v>
      </c>
      <c r="AK16" s="11">
        <v>0.70689999999999997</v>
      </c>
    </row>
    <row r="17" spans="1:37" x14ac:dyDescent="0.35">
      <c r="A17">
        <v>82</v>
      </c>
      <c r="B17" s="2" t="s">
        <v>19</v>
      </c>
      <c r="C17" s="159">
        <v>0.2006</v>
      </c>
      <c r="D17" s="160">
        <v>0.1762</v>
      </c>
      <c r="E17" s="159">
        <v>0.76349999999999996</v>
      </c>
      <c r="F17" s="160">
        <v>1.54E-2</v>
      </c>
      <c r="G17" s="159">
        <v>0.75819999999999999</v>
      </c>
      <c r="H17" s="136">
        <v>1.49E-2</v>
      </c>
      <c r="I17" s="164">
        <v>0.76380000000000003</v>
      </c>
      <c r="J17" s="165">
        <v>7.4999999999999997E-3</v>
      </c>
      <c r="K17" s="164">
        <v>0.83365999999999996</v>
      </c>
      <c r="L17" s="165">
        <v>8.9999999999999993E-3</v>
      </c>
      <c r="M17" s="159">
        <v>0.83050000000000002</v>
      </c>
      <c r="N17" s="160">
        <v>7.9000000000000008E-3</v>
      </c>
      <c r="O17" s="164">
        <v>0.75546000000000002</v>
      </c>
      <c r="P17" s="165">
        <v>3.0200000000000001E-2</v>
      </c>
      <c r="Q17" s="164">
        <v>0.76737999999999995</v>
      </c>
      <c r="R17" s="165">
        <v>1.9E-2</v>
      </c>
      <c r="S17" s="159">
        <v>0.78400000000000003</v>
      </c>
      <c r="T17" s="160">
        <v>1.6400000000000001E-2</v>
      </c>
      <c r="U17" s="167">
        <v>0.83960000000000001</v>
      </c>
      <c r="V17" s="160">
        <v>6.8999999999999999E-3</v>
      </c>
      <c r="W17" s="159">
        <f t="shared" si="0"/>
        <v>0.39630588235294117</v>
      </c>
      <c r="X17" s="160">
        <f t="shared" si="0"/>
        <v>0.38547058823529412</v>
      </c>
      <c r="Y17" s="102">
        <f t="shared" si="1"/>
        <v>0.38326161705345962</v>
      </c>
      <c r="AK17" s="11">
        <v>0.76780000000000004</v>
      </c>
    </row>
    <row r="18" spans="1:37" x14ac:dyDescent="0.35">
      <c r="A18">
        <v>132</v>
      </c>
      <c r="B18" s="2" t="s">
        <v>26</v>
      </c>
      <c r="C18" s="159">
        <v>0.14710000000000001</v>
      </c>
      <c r="D18" s="160">
        <v>1.44E-2</v>
      </c>
      <c r="E18" s="159">
        <v>0.67689999999999995</v>
      </c>
      <c r="F18" s="160">
        <v>5.0900000000000001E-2</v>
      </c>
      <c r="G18" s="159">
        <v>0.66059999999999997</v>
      </c>
      <c r="H18" s="136">
        <v>3.2300000000000002E-2</v>
      </c>
      <c r="I18" s="164">
        <v>0.65937999999999997</v>
      </c>
      <c r="J18" s="165">
        <v>1.7500000000000002E-2</v>
      </c>
      <c r="K18" s="164">
        <v>0.72643999999999997</v>
      </c>
      <c r="L18" s="165">
        <v>4.7300000000000002E-2</v>
      </c>
      <c r="M18" s="159">
        <v>0.73029999999999995</v>
      </c>
      <c r="N18" s="160">
        <v>2.6599999999999999E-2</v>
      </c>
      <c r="O18" s="164">
        <v>0.69420000000000004</v>
      </c>
      <c r="P18" s="165">
        <v>1.66E-2</v>
      </c>
      <c r="Q18" s="164">
        <v>0.70064000000000004</v>
      </c>
      <c r="R18" s="165">
        <v>4.4400000000000002E-2</v>
      </c>
      <c r="S18" s="159">
        <v>0.71870000000000001</v>
      </c>
      <c r="T18" s="160">
        <v>2.93E-2</v>
      </c>
      <c r="U18" s="167">
        <v>0.74970000000000003</v>
      </c>
      <c r="V18" s="160">
        <v>2.4299999999999999E-2</v>
      </c>
      <c r="W18" s="159">
        <f t="shared" si="0"/>
        <v>0.35083882352941181</v>
      </c>
      <c r="X18" s="160">
        <f t="shared" si="0"/>
        <v>0.34390941176470596</v>
      </c>
      <c r="Y18" s="102">
        <f t="shared" si="1"/>
        <v>0.33996793707092038</v>
      </c>
      <c r="AK18" s="11">
        <v>0.69420000000000004</v>
      </c>
    </row>
    <row r="19" spans="1:37" x14ac:dyDescent="0.35">
      <c r="A19">
        <v>141</v>
      </c>
      <c r="B19" s="2" t="s">
        <v>13</v>
      </c>
      <c r="C19" s="159">
        <v>0.36909999999999998</v>
      </c>
      <c r="D19" s="160">
        <v>1.2699999999999999E-2</v>
      </c>
      <c r="E19" s="159">
        <v>0.52170000000000005</v>
      </c>
      <c r="F19" s="160">
        <v>5.04E-2</v>
      </c>
      <c r="G19" s="159">
        <v>0.54379999999999995</v>
      </c>
      <c r="H19" s="136">
        <v>2.1100000000000001E-2</v>
      </c>
      <c r="I19" s="164">
        <v>0.56013999999999997</v>
      </c>
      <c r="J19" s="165">
        <v>6.3E-3</v>
      </c>
      <c r="K19" s="164">
        <v>0.61514000000000002</v>
      </c>
      <c r="L19" s="165">
        <v>4.1000000000000003E-3</v>
      </c>
      <c r="M19" s="159">
        <v>0.62190000000000001</v>
      </c>
      <c r="N19" s="160">
        <v>7.0000000000000001E-3</v>
      </c>
      <c r="O19" s="164">
        <v>0.59750000000000003</v>
      </c>
      <c r="P19" s="165">
        <v>1.77E-2</v>
      </c>
      <c r="Q19" s="164">
        <v>0.62734000000000001</v>
      </c>
      <c r="R19" s="165">
        <v>9.7999999999999997E-3</v>
      </c>
      <c r="S19" s="167">
        <v>0.64770000000000005</v>
      </c>
      <c r="T19" s="160">
        <v>1.5299999999999999E-2</v>
      </c>
      <c r="U19" s="159">
        <v>0.63170000000000004</v>
      </c>
      <c r="V19" s="160">
        <v>2.8799999999999999E-2</v>
      </c>
      <c r="W19" s="159">
        <f t="shared" si="0"/>
        <v>0.30784823529411776</v>
      </c>
      <c r="X19" s="160">
        <f t="shared" si="0"/>
        <v>0.28703647058823534</v>
      </c>
      <c r="Y19" s="102">
        <f t="shared" si="1"/>
        <v>0.29212725960359931</v>
      </c>
    </row>
    <row r="20" spans="1:37" x14ac:dyDescent="0.35">
      <c r="A20">
        <v>142</v>
      </c>
      <c r="B20" s="2" t="s">
        <v>20</v>
      </c>
      <c r="C20" s="159">
        <v>0.25990000000000002</v>
      </c>
      <c r="D20" s="160">
        <v>4.4400000000000002E-2</v>
      </c>
      <c r="E20" s="159">
        <v>0.61370000000000002</v>
      </c>
      <c r="F20" s="160">
        <v>1.2999999999999999E-2</v>
      </c>
      <c r="G20" s="159">
        <v>0.58620000000000005</v>
      </c>
      <c r="H20" s="136">
        <v>1.03E-2</v>
      </c>
      <c r="I20" s="164">
        <v>0.55822000000000005</v>
      </c>
      <c r="J20" s="165">
        <v>1.84E-2</v>
      </c>
      <c r="K20" s="164">
        <v>0.64581999999999995</v>
      </c>
      <c r="L20" s="165">
        <v>1.0800000000000001E-2</v>
      </c>
      <c r="M20" s="159">
        <v>0.64959999999999996</v>
      </c>
      <c r="N20" s="160">
        <v>1.3299999999999999E-2</v>
      </c>
      <c r="O20" s="164">
        <v>0.57908000000000004</v>
      </c>
      <c r="P20" s="165">
        <v>1.9599999999999999E-2</v>
      </c>
      <c r="Q20" s="164">
        <v>0.58575999999999995</v>
      </c>
      <c r="R20" s="165">
        <v>3.0599999999999999E-2</v>
      </c>
      <c r="S20" s="159">
        <v>0.63500000000000001</v>
      </c>
      <c r="T20" s="160">
        <v>2.92E-2</v>
      </c>
      <c r="U20" s="167">
        <v>0.66249999999999998</v>
      </c>
      <c r="V20" s="160">
        <v>2.1700000000000001E-2</v>
      </c>
      <c r="W20" s="159">
        <f t="shared" si="0"/>
        <v>0.31021647058823526</v>
      </c>
      <c r="X20" s="160">
        <f t="shared" si="0"/>
        <v>0.2966458823529412</v>
      </c>
      <c r="Y20" s="102">
        <f t="shared" si="1"/>
        <v>0.29731913779345859</v>
      </c>
    </row>
    <row r="21" spans="1:37" x14ac:dyDescent="0.35">
      <c r="A21">
        <v>203</v>
      </c>
      <c r="B21" s="2" t="s">
        <v>18</v>
      </c>
      <c r="C21" s="159">
        <v>0.1757</v>
      </c>
      <c r="D21" s="160">
        <v>2.9499999999999998E-2</v>
      </c>
      <c r="E21" s="159">
        <v>0.75629999999999997</v>
      </c>
      <c r="F21" s="160">
        <v>2.3E-2</v>
      </c>
      <c r="G21" s="159">
        <v>0.70279999999999998</v>
      </c>
      <c r="H21" s="136">
        <v>1.8499999999999999E-2</v>
      </c>
      <c r="I21" s="164">
        <v>0.73617999999999995</v>
      </c>
      <c r="J21" s="165">
        <v>1.09E-2</v>
      </c>
      <c r="K21" s="164">
        <v>0.80012000000000005</v>
      </c>
      <c r="L21" s="165">
        <v>1.7600000000000001E-2</v>
      </c>
      <c r="M21" s="159">
        <v>0.79900000000000004</v>
      </c>
      <c r="N21" s="160">
        <v>1.55E-2</v>
      </c>
      <c r="O21" s="164">
        <v>0.75114000000000003</v>
      </c>
      <c r="P21" s="165">
        <v>6.0000000000000001E-3</v>
      </c>
      <c r="Q21" s="164">
        <v>0.78112000000000004</v>
      </c>
      <c r="R21" s="165">
        <v>1.34E-2</v>
      </c>
      <c r="S21" s="168">
        <v>0.78859999999999997</v>
      </c>
      <c r="T21" s="166">
        <v>1.34E-2</v>
      </c>
      <c r="U21" s="167">
        <v>0.80469999999999997</v>
      </c>
      <c r="V21" s="160">
        <v>1.7000000000000001E-2</v>
      </c>
      <c r="W21" s="159">
        <f t="shared" si="0"/>
        <v>0.37796235294117653</v>
      </c>
      <c r="X21" s="160">
        <f t="shared" si="0"/>
        <v>0.36841529411764706</v>
      </c>
      <c r="Y21" s="102">
        <f t="shared" si="1"/>
        <v>0.38023974190807019</v>
      </c>
    </row>
    <row r="22" spans="1:37" x14ac:dyDescent="0.35">
      <c r="A22">
        <v>289</v>
      </c>
      <c r="B22" s="22" t="s">
        <v>62</v>
      </c>
      <c r="C22" s="159">
        <v>0.3821</v>
      </c>
      <c r="D22" s="160">
        <v>6.93E-2</v>
      </c>
      <c r="E22" s="159">
        <v>0.43930000000000002</v>
      </c>
      <c r="F22" s="160">
        <v>0.1225</v>
      </c>
      <c r="G22" s="159">
        <v>0.27139999999999997</v>
      </c>
      <c r="H22" s="136">
        <v>0.1575</v>
      </c>
      <c r="I22" s="164">
        <v>0.76427999999999996</v>
      </c>
      <c r="J22" s="166">
        <v>0.16539999999999999</v>
      </c>
      <c r="K22" s="164">
        <v>0.60711999999999999</v>
      </c>
      <c r="L22" s="166">
        <v>0.21640000000000001</v>
      </c>
      <c r="M22" s="159">
        <v>0.78569999999999995</v>
      </c>
      <c r="N22" s="160">
        <v>5.9799999999999999E-2</v>
      </c>
      <c r="O22" s="164">
        <v>0.91783999999999999</v>
      </c>
      <c r="P22" s="165">
        <v>6.7400000000000002E-2</v>
      </c>
      <c r="Q22" s="164">
        <v>0.97141999999999995</v>
      </c>
      <c r="R22" s="165">
        <v>5.7099999999999998E-2</v>
      </c>
      <c r="S22" s="168">
        <v>0.97140000000000004</v>
      </c>
      <c r="T22" s="166">
        <v>5.7099999999999998E-2</v>
      </c>
      <c r="U22" s="167">
        <v>1</v>
      </c>
      <c r="V22" s="160">
        <v>0</v>
      </c>
      <c r="W22" s="159">
        <f t="shared" si="0"/>
        <v>0.41329176470588236</v>
      </c>
      <c r="X22" s="160">
        <f t="shared" si="0"/>
        <v>0.39417411764705884</v>
      </c>
      <c r="Y22" s="102">
        <f t="shared" si="1"/>
        <v>0.36568826399780868</v>
      </c>
    </row>
    <row r="23" spans="1:37" x14ac:dyDescent="0.35">
      <c r="A23">
        <v>288</v>
      </c>
      <c r="B23" s="2" t="s">
        <v>14</v>
      </c>
      <c r="C23" s="159">
        <v>0.14949999999999999</v>
      </c>
      <c r="D23" s="160">
        <v>3.0300000000000001E-2</v>
      </c>
      <c r="E23" s="159">
        <v>0.59809999999999997</v>
      </c>
      <c r="F23" s="160">
        <v>1.06E-2</v>
      </c>
      <c r="G23" s="159">
        <v>0.54249999999999998</v>
      </c>
      <c r="H23" s="136">
        <v>6.3799999999999996E-2</v>
      </c>
      <c r="I23" s="164">
        <v>0.57143999999999995</v>
      </c>
      <c r="J23" s="165">
        <v>1.6299999999999999E-2</v>
      </c>
      <c r="K23" s="164">
        <v>0.65802000000000005</v>
      </c>
      <c r="L23" s="165">
        <v>1.83E-2</v>
      </c>
      <c r="M23" s="159">
        <v>0.67579999999999996</v>
      </c>
      <c r="N23" s="160">
        <v>2.2200000000000001E-2</v>
      </c>
      <c r="O23" s="164">
        <v>0.58628000000000002</v>
      </c>
      <c r="P23" s="165">
        <v>3.8199999999999998E-2</v>
      </c>
      <c r="Q23" s="164">
        <v>0.61882000000000004</v>
      </c>
      <c r="R23" s="165">
        <v>2.7199999999999998E-2</v>
      </c>
      <c r="S23" s="168">
        <v>0.62990000000000002</v>
      </c>
      <c r="T23" s="166">
        <v>2.5700000000000001E-2</v>
      </c>
      <c r="U23" s="167">
        <v>0.68100000000000005</v>
      </c>
      <c r="V23" s="160">
        <v>2.52E-2</v>
      </c>
      <c r="W23" s="159">
        <f t="shared" si="0"/>
        <v>0.30925058823529411</v>
      </c>
      <c r="X23" s="160">
        <f t="shared" si="0"/>
        <v>0.30196823529411759</v>
      </c>
      <c r="Y23" s="102">
        <f t="shared" si="1"/>
        <v>0.29952072510080552</v>
      </c>
    </row>
    <row r="24" spans="1:37" x14ac:dyDescent="0.35">
      <c r="B24" s="64" t="s">
        <v>22</v>
      </c>
      <c r="C24" s="161">
        <f t="shared" ref="C24:V24" si="2">AVERAGE(C2:C23)</f>
        <v>0.28838181818181818</v>
      </c>
      <c r="D24" s="156">
        <f>AVERAGE(D2:D23)</f>
        <v>0.11708636363636367</v>
      </c>
      <c r="E24" s="161">
        <f t="shared" si="2"/>
        <v>0.69495454545454538</v>
      </c>
      <c r="F24" s="156">
        <f t="shared" si="2"/>
        <v>2.3418181818181817E-2</v>
      </c>
      <c r="G24" s="161">
        <f t="shared" si="2"/>
        <v>0.6685545454545454</v>
      </c>
      <c r="H24" s="172">
        <f t="shared" si="2"/>
        <v>2.4604545454545455E-2</v>
      </c>
      <c r="I24" s="161">
        <f t="shared" si="2"/>
        <v>0.69791727272727266</v>
      </c>
      <c r="J24" s="156">
        <f>AVERAGE(J2:J23)</f>
        <v>2.8899999999999995E-2</v>
      </c>
      <c r="K24" s="161">
        <f t="shared" si="2"/>
        <v>0.74456545454545453</v>
      </c>
      <c r="L24" s="156">
        <f>AVERAGE(L2:L23)</f>
        <v>2.7190909090909089E-2</v>
      </c>
      <c r="M24" s="161">
        <f t="shared" si="2"/>
        <v>0.75770909090909089</v>
      </c>
      <c r="N24" s="156">
        <f>AVERAGE(N2:N23)</f>
        <v>1.5713636363636364E-2</v>
      </c>
      <c r="O24" s="161">
        <f t="shared" si="2"/>
        <v>0.7111054545454546</v>
      </c>
      <c r="P24" s="156">
        <f>AVERAGE(P2:P23)</f>
        <v>1.9763636363636365E-2</v>
      </c>
      <c r="Q24" s="161">
        <f t="shared" si="2"/>
        <v>0.73433363636363636</v>
      </c>
      <c r="R24" s="156">
        <f>AVERAGE(R2:R23)</f>
        <v>2.4190909090909093E-2</v>
      </c>
      <c r="S24" s="161">
        <f t="shared" si="2"/>
        <v>0.7450681818181818</v>
      </c>
      <c r="T24" s="156">
        <f t="shared" si="2"/>
        <v>2.2100000000000002E-2</v>
      </c>
      <c r="U24" s="169">
        <f t="shared" si="2"/>
        <v>0.77444090909090935</v>
      </c>
      <c r="V24" s="156">
        <f t="shared" si="2"/>
        <v>2.0154545454545456E-2</v>
      </c>
      <c r="W24" s="170">
        <f>AVERAGE(W2:W23)</f>
        <v>0.37196812834224602</v>
      </c>
      <c r="X24" s="157">
        <f>AVERAGE(X2:X23)</f>
        <v>0.35630449197860964</v>
      </c>
      <c r="Y24" s="102"/>
      <c r="AK24" s="5">
        <f>AVERAGE(AK2:AK23)</f>
        <v>0.73649411764705885</v>
      </c>
    </row>
    <row r="25" spans="1:37" x14ac:dyDescent="0.35">
      <c r="K25" s="116"/>
    </row>
    <row r="29" spans="1:37" x14ac:dyDescent="0.35">
      <c r="B29" s="62" t="s">
        <v>0</v>
      </c>
      <c r="C29" s="163" t="s">
        <v>63</v>
      </c>
      <c r="D29" s="155"/>
      <c r="E29" s="163" t="s">
        <v>64</v>
      </c>
      <c r="F29" s="155"/>
      <c r="G29" s="163" t="s">
        <v>78</v>
      </c>
      <c r="H29" s="155"/>
      <c r="I29" s="163" t="s">
        <v>22</v>
      </c>
      <c r="J29" s="155"/>
      <c r="K29"/>
      <c r="L29"/>
      <c r="M29"/>
      <c r="N29"/>
    </row>
    <row r="30" spans="1:37" x14ac:dyDescent="0.35">
      <c r="B30" s="2" t="s">
        <v>5</v>
      </c>
      <c r="C30" s="159">
        <v>0.72489999999999999</v>
      </c>
      <c r="D30" s="160">
        <v>2.4899999999999999E-2</v>
      </c>
      <c r="E30" s="167">
        <v>0.74299999999999999</v>
      </c>
      <c r="F30" s="160">
        <v>2.8799999999999999E-2</v>
      </c>
      <c r="G30" s="159">
        <v>2.1899999999999999E-2</v>
      </c>
      <c r="H30" s="160">
        <v>5.5999999999999999E-3</v>
      </c>
      <c r="I30" s="159">
        <f>AVERAGE(C30:G30)</f>
        <v>0.30869999999999997</v>
      </c>
      <c r="J30" s="160">
        <f>AVERAGE(D30:H30)</f>
        <v>0.16484000000000004</v>
      </c>
      <c r="K30"/>
      <c r="L30"/>
      <c r="M30"/>
      <c r="N30"/>
    </row>
    <row r="31" spans="1:37" x14ac:dyDescent="0.35">
      <c r="B31" s="2" t="s">
        <v>6</v>
      </c>
      <c r="C31" s="159">
        <v>0.51060000000000005</v>
      </c>
      <c r="D31" s="160">
        <v>7.0300000000000001E-2</v>
      </c>
      <c r="E31" s="167">
        <v>0.58169999999999999</v>
      </c>
      <c r="F31" s="160">
        <v>1.9400000000000001E-2</v>
      </c>
      <c r="G31" s="159">
        <v>0.54530000000000001</v>
      </c>
      <c r="H31" s="160">
        <v>1.38E-2</v>
      </c>
      <c r="I31" s="159">
        <f>AVERAGE(C31:C31)</f>
        <v>0.51060000000000005</v>
      </c>
      <c r="J31" s="160">
        <f>AVERAGE(D31:H31)</f>
        <v>0.24609999999999999</v>
      </c>
      <c r="K31"/>
      <c r="L31"/>
      <c r="M31"/>
      <c r="N31"/>
    </row>
    <row r="32" spans="1:37" x14ac:dyDescent="0.35">
      <c r="B32" s="2" t="s">
        <v>7</v>
      </c>
      <c r="C32" s="159">
        <v>0.55910000000000004</v>
      </c>
      <c r="D32" s="160">
        <v>5.2499999999999998E-2</v>
      </c>
      <c r="E32" s="167">
        <v>0.5806</v>
      </c>
      <c r="F32" s="160">
        <v>9.1300000000000006E-2</v>
      </c>
      <c r="G32" s="159">
        <v>0.40579999999999999</v>
      </c>
      <c r="H32" s="160">
        <v>0.25990000000000002</v>
      </c>
      <c r="I32" s="159">
        <f>AVERAGE(C32:C32)</f>
        <v>0.55910000000000004</v>
      </c>
      <c r="J32" s="160">
        <f>AVERAGE(D32:H32)</f>
        <v>0.27802000000000004</v>
      </c>
    </row>
    <row r="33" spans="2:10" x14ac:dyDescent="0.35">
      <c r="B33" s="2" t="s">
        <v>27</v>
      </c>
      <c r="C33" s="159">
        <v>0.69740000000000002</v>
      </c>
      <c r="D33" s="160">
        <v>1.21E-2</v>
      </c>
      <c r="E33" s="159">
        <v>0.57050000000000001</v>
      </c>
      <c r="F33" s="160">
        <v>0.1106</v>
      </c>
      <c r="G33" s="167">
        <v>0.73209999999999997</v>
      </c>
      <c r="H33" s="160">
        <v>3.2599999999999997E-2</v>
      </c>
      <c r="I33" s="159">
        <f>AVERAGE(C33:C33)</f>
        <v>0.69740000000000002</v>
      </c>
      <c r="J33" s="160">
        <f>AVERAGE(D33:H33)</f>
        <v>0.29158000000000001</v>
      </c>
    </row>
    <row r="34" spans="2:10" x14ac:dyDescent="0.35">
      <c r="B34" s="2" t="s">
        <v>8</v>
      </c>
      <c r="C34" s="159">
        <v>0.52429999999999999</v>
      </c>
      <c r="D34" s="160">
        <v>8.2799999999999999E-2</v>
      </c>
      <c r="E34" s="167">
        <v>0.55840000000000001</v>
      </c>
      <c r="F34" s="160">
        <v>0.1009</v>
      </c>
      <c r="G34" s="159">
        <v>0.35070000000000001</v>
      </c>
      <c r="H34" s="160">
        <v>0.28399999999999997</v>
      </c>
      <c r="I34" s="159">
        <f>AVERAGE(C34:C34)</f>
        <v>0.52429999999999999</v>
      </c>
      <c r="J34" s="160">
        <f>AVERAGE(D34:H34)</f>
        <v>0.27535999999999999</v>
      </c>
    </row>
    <row r="35" spans="2:10" x14ac:dyDescent="0.35">
      <c r="B35" s="2" t="s">
        <v>9</v>
      </c>
      <c r="C35" s="159">
        <v>0.53120000000000001</v>
      </c>
      <c r="D35" s="160">
        <v>8.5699999999999998E-2</v>
      </c>
      <c r="E35" s="167">
        <v>0.53580000000000005</v>
      </c>
      <c r="F35" s="160">
        <v>0.1108</v>
      </c>
      <c r="G35" s="159">
        <v>0.33660000000000001</v>
      </c>
      <c r="H35" s="160">
        <v>0.32600000000000001</v>
      </c>
      <c r="I35" s="159">
        <f>AVERAGE(C35:C35)</f>
        <v>0.53120000000000001</v>
      </c>
      <c r="J35" s="160">
        <f>AVERAGE(D35:H35)</f>
        <v>0.27898000000000006</v>
      </c>
    </row>
    <row r="36" spans="2:10" x14ac:dyDescent="0.35">
      <c r="B36" s="2" t="s">
        <v>28</v>
      </c>
      <c r="C36" s="159">
        <v>0.52070000000000005</v>
      </c>
      <c r="D36" s="160">
        <v>5.5100000000000003E-2</v>
      </c>
      <c r="E36" s="167">
        <v>0.52959999999999996</v>
      </c>
      <c r="F36" s="160">
        <v>2.7300000000000001E-2</v>
      </c>
      <c r="G36" s="159">
        <v>0.50629999999999997</v>
      </c>
      <c r="H36" s="160">
        <v>7.1499999999999994E-2</v>
      </c>
      <c r="I36" s="159">
        <f>AVERAGE(C36:C36)</f>
        <v>0.52070000000000005</v>
      </c>
      <c r="J36" s="160">
        <f>AVERAGE(D36:H36)</f>
        <v>0.23796</v>
      </c>
    </row>
    <row r="37" spans="2:10" x14ac:dyDescent="0.35">
      <c r="B37" s="2" t="s">
        <v>10</v>
      </c>
      <c r="C37" s="159">
        <v>0.4289</v>
      </c>
      <c r="D37" s="160">
        <v>8.9599999999999999E-2</v>
      </c>
      <c r="E37" s="159">
        <v>0.4874</v>
      </c>
      <c r="F37" s="160">
        <v>8.9800000000000005E-2</v>
      </c>
      <c r="G37" s="167">
        <v>0.54700000000000004</v>
      </c>
      <c r="H37" s="160">
        <v>3.2300000000000002E-2</v>
      </c>
      <c r="I37" s="159">
        <f>AVERAGE(C37:C37)</f>
        <v>0.4289</v>
      </c>
      <c r="J37" s="160">
        <f>AVERAGE(D37:H37)</f>
        <v>0.24922</v>
      </c>
    </row>
    <row r="38" spans="2:10" x14ac:dyDescent="0.35">
      <c r="B38" s="2" t="s">
        <v>23</v>
      </c>
      <c r="C38" s="159">
        <v>0.57030000000000003</v>
      </c>
      <c r="D38" s="160">
        <v>3.2399999999999998E-2</v>
      </c>
      <c r="E38" s="159">
        <v>0.49030000000000001</v>
      </c>
      <c r="F38" s="160">
        <v>0.18099999999999999</v>
      </c>
      <c r="G38" s="167">
        <v>0.57969999999999999</v>
      </c>
      <c r="H38" s="160">
        <v>0.25750000000000001</v>
      </c>
      <c r="I38" s="159">
        <f>AVERAGE(C38:C38)</f>
        <v>0.57030000000000003</v>
      </c>
      <c r="J38" s="160">
        <f>AVERAGE(D38:H38)</f>
        <v>0.30818000000000001</v>
      </c>
    </row>
    <row r="39" spans="2:10" x14ac:dyDescent="0.35">
      <c r="B39" s="2" t="s">
        <v>29</v>
      </c>
      <c r="C39" s="159">
        <v>0.5161</v>
      </c>
      <c r="D39" s="160">
        <v>2.58E-2</v>
      </c>
      <c r="E39" s="159">
        <v>0.50019999999999998</v>
      </c>
      <c r="F39" s="160">
        <v>2.6200000000000001E-2</v>
      </c>
      <c r="G39" s="167">
        <v>0.57399999999999995</v>
      </c>
      <c r="H39" s="160">
        <v>8.2699999999999996E-2</v>
      </c>
      <c r="I39" s="159">
        <f>AVERAGE(C39:C39)</f>
        <v>0.5161</v>
      </c>
      <c r="J39" s="160">
        <f>AVERAGE(D39:H39)</f>
        <v>0.24177999999999997</v>
      </c>
    </row>
    <row r="40" spans="2:10" x14ac:dyDescent="0.35">
      <c r="B40" s="2" t="s">
        <v>11</v>
      </c>
      <c r="C40" s="167">
        <v>0.51080000000000003</v>
      </c>
      <c r="D40" s="160">
        <v>3.2300000000000002E-2</v>
      </c>
      <c r="E40" s="159">
        <v>0.4783</v>
      </c>
      <c r="F40" s="160">
        <v>8.0399999999999999E-2</v>
      </c>
      <c r="G40" s="159">
        <v>0.44600000000000001</v>
      </c>
      <c r="H40" s="160">
        <v>0.2213</v>
      </c>
      <c r="I40" s="159">
        <f>AVERAGE(C40:C40)</f>
        <v>0.51080000000000003</v>
      </c>
      <c r="J40" s="160">
        <f>AVERAGE(D40:H40)</f>
        <v>0.25166000000000005</v>
      </c>
    </row>
    <row r="41" spans="2:10" x14ac:dyDescent="0.35">
      <c r="B41" s="2" t="s">
        <v>25</v>
      </c>
      <c r="C41" s="167">
        <v>0.5776</v>
      </c>
      <c r="D41" s="160">
        <v>5.4699999999999999E-2</v>
      </c>
      <c r="E41" s="159">
        <v>0.46400000000000002</v>
      </c>
      <c r="F41" s="160">
        <v>0.20300000000000001</v>
      </c>
      <c r="G41" s="159">
        <v>0.22409999999999999</v>
      </c>
      <c r="H41" s="160">
        <v>0.2437</v>
      </c>
      <c r="I41" s="159">
        <f>AVERAGE(C41:C41)</f>
        <v>0.5776</v>
      </c>
      <c r="J41" s="160">
        <f>AVERAGE(D41:H41)</f>
        <v>0.2379</v>
      </c>
    </row>
    <row r="42" spans="2:10" x14ac:dyDescent="0.35">
      <c r="B42" s="2" t="s">
        <v>24</v>
      </c>
      <c r="C42" s="159">
        <v>0.52769999999999995</v>
      </c>
      <c r="D42" s="160">
        <v>9.6600000000000005E-2</v>
      </c>
      <c r="E42" s="159">
        <v>0.52280000000000004</v>
      </c>
      <c r="F42" s="160">
        <v>4.4900000000000002E-2</v>
      </c>
      <c r="G42" s="167">
        <v>0.55059999999999998</v>
      </c>
      <c r="H42" s="160">
        <v>0.26550000000000001</v>
      </c>
      <c r="I42" s="159">
        <f>AVERAGE(C42:C42)</f>
        <v>0.52769999999999995</v>
      </c>
      <c r="J42" s="160">
        <f>AVERAGE(D42:H42)</f>
        <v>0.29608000000000001</v>
      </c>
    </row>
    <row r="43" spans="2:10" x14ac:dyDescent="0.35">
      <c r="B43" s="2" t="s">
        <v>17</v>
      </c>
      <c r="C43" s="159">
        <v>0.42649999999999999</v>
      </c>
      <c r="D43" s="160">
        <v>0.18690000000000001</v>
      </c>
      <c r="E43" s="159">
        <v>0.4677</v>
      </c>
      <c r="F43" s="160">
        <v>0.1825</v>
      </c>
      <c r="G43" s="167">
        <v>0.59319999999999995</v>
      </c>
      <c r="H43" s="160">
        <v>2.5899999999999999E-2</v>
      </c>
      <c r="I43" s="159">
        <f>AVERAGE(C43:C43)</f>
        <v>0.42649999999999999</v>
      </c>
      <c r="J43" s="160">
        <f>AVERAGE(D43:H43)</f>
        <v>0.29124</v>
      </c>
    </row>
    <row r="44" spans="2:10" x14ac:dyDescent="0.35">
      <c r="B44" s="2" t="s">
        <v>12</v>
      </c>
      <c r="C44" s="159">
        <v>0.45319999999999999</v>
      </c>
      <c r="D44" s="160">
        <v>2.4E-2</v>
      </c>
      <c r="E44" s="159">
        <v>0.33019999999999999</v>
      </c>
      <c r="F44" s="160">
        <v>0.1075</v>
      </c>
      <c r="G44" s="167">
        <v>0.46529999999999999</v>
      </c>
      <c r="H44" s="160">
        <v>2.6499999999999999E-2</v>
      </c>
      <c r="I44" s="159">
        <f>AVERAGE(C44:C44)</f>
        <v>0.45319999999999999</v>
      </c>
      <c r="J44" s="160">
        <f>AVERAGE(D44:H44)</f>
        <v>0.19070000000000001</v>
      </c>
    </row>
    <row r="45" spans="2:10" x14ac:dyDescent="0.35">
      <c r="B45" s="2" t="s">
        <v>19</v>
      </c>
      <c r="C45" s="167">
        <v>0.60660000000000003</v>
      </c>
      <c r="D45" s="160">
        <v>5.1400000000000001E-2</v>
      </c>
      <c r="E45" s="159">
        <v>0.48399999999999999</v>
      </c>
      <c r="F45" s="160">
        <v>0.2021</v>
      </c>
      <c r="G45" s="159">
        <v>0.43569999999999998</v>
      </c>
      <c r="H45" s="160">
        <v>0.32850000000000001</v>
      </c>
      <c r="I45" s="159">
        <f>AVERAGE(C45:C45)</f>
        <v>0.60660000000000003</v>
      </c>
      <c r="J45" s="160">
        <f>AVERAGE(D45:H45)</f>
        <v>0.30034</v>
      </c>
    </row>
    <row r="46" spans="2:10" x14ac:dyDescent="0.35">
      <c r="B46" s="2" t="s">
        <v>26</v>
      </c>
      <c r="C46" s="167">
        <v>0.50190000000000001</v>
      </c>
      <c r="D46" s="160">
        <v>3.3500000000000002E-2</v>
      </c>
      <c r="E46" s="159">
        <v>0.49940000000000001</v>
      </c>
      <c r="F46" s="160">
        <v>4.2500000000000003E-2</v>
      </c>
      <c r="G46" s="159">
        <v>0.33079999999999998</v>
      </c>
      <c r="H46" s="160">
        <v>0.21199999999999999</v>
      </c>
      <c r="I46" s="159">
        <f>AVERAGE(C46:C46)</f>
        <v>0.50190000000000001</v>
      </c>
      <c r="J46" s="160">
        <f>AVERAGE(D46:H46)</f>
        <v>0.22364000000000001</v>
      </c>
    </row>
    <row r="47" spans="2:10" x14ac:dyDescent="0.35">
      <c r="B47" s="2" t="s">
        <v>13</v>
      </c>
      <c r="C47" s="159">
        <v>0.38250000000000001</v>
      </c>
      <c r="D47" s="160">
        <v>6.1699999999999998E-2</v>
      </c>
      <c r="E47" s="159">
        <v>0.28599999999999998</v>
      </c>
      <c r="F47" s="160">
        <v>0.10489999999999999</v>
      </c>
      <c r="G47" s="167">
        <v>0.46779999999999999</v>
      </c>
      <c r="H47" s="160">
        <v>1.6899999999999998E-2</v>
      </c>
      <c r="I47" s="159">
        <f>AVERAGE(C47:C47)</f>
        <v>0.38250000000000001</v>
      </c>
      <c r="J47" s="160">
        <f>AVERAGE(D47:H47)</f>
        <v>0.18745999999999999</v>
      </c>
    </row>
    <row r="48" spans="2:10" x14ac:dyDescent="0.35">
      <c r="B48" s="2" t="s">
        <v>20</v>
      </c>
      <c r="C48" s="167">
        <v>0.3488</v>
      </c>
      <c r="D48" s="160">
        <v>0.1077</v>
      </c>
      <c r="E48" s="159">
        <v>0.32300000000000001</v>
      </c>
      <c r="F48" s="160">
        <v>0.1386</v>
      </c>
      <c r="G48" s="159">
        <v>0.3392</v>
      </c>
      <c r="H48" s="160">
        <v>0.17749999999999999</v>
      </c>
      <c r="I48" s="159">
        <f>AVERAGE(C48:C48)</f>
        <v>0.3488</v>
      </c>
      <c r="J48" s="160">
        <f>AVERAGE(D48:H48)</f>
        <v>0.2172</v>
      </c>
    </row>
    <row r="49" spans="2:10" x14ac:dyDescent="0.35">
      <c r="B49" s="2" t="s">
        <v>18</v>
      </c>
      <c r="C49" s="159">
        <v>0.50570000000000004</v>
      </c>
      <c r="D49" s="160">
        <v>7.22E-2</v>
      </c>
      <c r="E49" s="167">
        <v>0.53680000000000005</v>
      </c>
      <c r="F49" s="160">
        <v>5.8999999999999997E-2</v>
      </c>
      <c r="G49" s="159">
        <v>0.40229999999999999</v>
      </c>
      <c r="H49" s="116">
        <v>0.22259999999999999</v>
      </c>
      <c r="I49" s="159">
        <f>AVERAGE(C49:C49)</f>
        <v>0.50570000000000004</v>
      </c>
      <c r="J49" s="160">
        <f>AVERAGE(D49:H49)</f>
        <v>0.25857999999999998</v>
      </c>
    </row>
    <row r="50" spans="2:10" x14ac:dyDescent="0.35">
      <c r="B50" s="22" t="s">
        <v>62</v>
      </c>
      <c r="C50" s="159">
        <v>0.52500000000000002</v>
      </c>
      <c r="D50" s="160">
        <v>0.22520000000000001</v>
      </c>
      <c r="E50" s="159">
        <v>0.48930000000000001</v>
      </c>
      <c r="F50" s="160">
        <v>7.7899999999999997E-2</v>
      </c>
      <c r="G50" s="167">
        <v>0.58209999999999995</v>
      </c>
      <c r="H50" s="160">
        <v>0.22969999999999999</v>
      </c>
      <c r="I50" s="159">
        <f>AVERAGE(C50:C50)</f>
        <v>0.52500000000000002</v>
      </c>
      <c r="J50" s="160">
        <f>AVERAGE(D50:H50)</f>
        <v>0.32083999999999996</v>
      </c>
    </row>
    <row r="51" spans="2:10" x14ac:dyDescent="0.35">
      <c r="B51" s="2" t="s">
        <v>14</v>
      </c>
      <c r="C51" s="167">
        <v>0.31169999999999998</v>
      </c>
      <c r="D51" s="160">
        <v>8.4699999999999998E-2</v>
      </c>
      <c r="E51" s="159">
        <v>0.27089999999999997</v>
      </c>
      <c r="F51" s="160">
        <v>1.9900000000000001E-2</v>
      </c>
      <c r="G51" s="159">
        <v>0.25569999999999998</v>
      </c>
      <c r="H51" s="160">
        <v>0.1173</v>
      </c>
      <c r="I51" s="159">
        <f>AVERAGE(C51:C51)</f>
        <v>0.31169999999999998</v>
      </c>
      <c r="J51" s="160">
        <f>AVERAGE(D51:H51)</f>
        <v>0.1497</v>
      </c>
    </row>
    <row r="52" spans="2:10" x14ac:dyDescent="0.35">
      <c r="B52" s="64" t="s">
        <v>22</v>
      </c>
      <c r="C52" s="173">
        <f>AVERAGE(C30:C51)</f>
        <v>0.51188636363636375</v>
      </c>
      <c r="D52" s="157">
        <f>AVERAGE(D30:D51)</f>
        <v>7.1004545454545459E-2</v>
      </c>
      <c r="E52" s="170">
        <f>AVERAGE(E30:E51)</f>
        <v>0.4877227272727272</v>
      </c>
      <c r="F52" s="157">
        <f>AVERAGE(F30:F51)</f>
        <v>9.3149999999999983E-2</v>
      </c>
      <c r="G52" s="170">
        <f>AVERAGE(G30:G51)</f>
        <v>0.44055454545454542</v>
      </c>
      <c r="H52" s="157">
        <f>AVERAGE(H30:H51)</f>
        <v>0.15696818181818181</v>
      </c>
      <c r="I52" s="170">
        <f>AVERAGE(I30:I51)</f>
        <v>0.49296818181818192</v>
      </c>
      <c r="J52" s="157">
        <f>AVERAGE(J30:J51)</f>
        <v>0.24987999999999999</v>
      </c>
    </row>
    <row r="53" spans="2:10" x14ac:dyDescent="0.35">
      <c r="B53"/>
      <c r="C53"/>
      <c r="D53"/>
      <c r="E53"/>
      <c r="F53"/>
      <c r="G53"/>
      <c r="H53"/>
      <c r="I53"/>
      <c r="J53"/>
    </row>
    <row r="54" spans="2:10" x14ac:dyDescent="0.35">
      <c r="B54"/>
      <c r="C54"/>
      <c r="D54"/>
      <c r="E54"/>
      <c r="F54"/>
      <c r="G54"/>
      <c r="H54"/>
      <c r="I54"/>
      <c r="J54"/>
    </row>
    <row r="56" spans="2:10" x14ac:dyDescent="0.35">
      <c r="H56" s="154"/>
    </row>
  </sheetData>
  <mergeCells count="15">
    <mergeCell ref="O1:P1"/>
    <mergeCell ref="Q1:R1"/>
    <mergeCell ref="S1:T1"/>
    <mergeCell ref="U1:V1"/>
    <mergeCell ref="W1:X1"/>
    <mergeCell ref="C29:D29"/>
    <mergeCell ref="E29:F29"/>
    <mergeCell ref="G29:H29"/>
    <mergeCell ref="I29:J29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033A-619E-42E5-83A7-5668B557271C}">
  <dimension ref="A1:J28"/>
  <sheetViews>
    <sheetView workbookViewId="0">
      <selection activeCell="D32" sqref="D32"/>
    </sheetView>
  </sheetViews>
  <sheetFormatPr defaultRowHeight="14.5" x14ac:dyDescent="0.35"/>
  <cols>
    <col min="1" max="1" width="13.6328125" customWidth="1"/>
    <col min="2" max="2" width="14.7265625" customWidth="1"/>
    <col min="3" max="10" width="8.7265625" style="1"/>
  </cols>
  <sheetData>
    <row r="1" spans="1:10" x14ac:dyDescent="0.35">
      <c r="A1" t="s">
        <v>39</v>
      </c>
      <c r="B1" t="s">
        <v>15</v>
      </c>
    </row>
    <row r="2" spans="1:10" x14ac:dyDescent="0.35">
      <c r="A2" t="s">
        <v>40</v>
      </c>
      <c r="B2" t="s">
        <v>41</v>
      </c>
    </row>
    <row r="3" spans="1:10" x14ac:dyDescent="0.35">
      <c r="A3" t="s">
        <v>42</v>
      </c>
      <c r="B3">
        <v>0.99</v>
      </c>
    </row>
    <row r="5" spans="1:10" x14ac:dyDescent="0.35">
      <c r="A5" t="s">
        <v>43</v>
      </c>
      <c r="B5" s="7" t="s">
        <v>0</v>
      </c>
      <c r="C5" s="8" t="s">
        <v>44</v>
      </c>
      <c r="D5" s="8" t="s">
        <v>45</v>
      </c>
      <c r="E5" s="8" t="s">
        <v>46</v>
      </c>
      <c r="F5" s="8" t="s">
        <v>47</v>
      </c>
      <c r="G5" s="8" t="s">
        <v>48</v>
      </c>
      <c r="H5" s="8" t="s">
        <v>49</v>
      </c>
      <c r="I5" s="8" t="s">
        <v>50</v>
      </c>
      <c r="J5" s="8" t="s">
        <v>51</v>
      </c>
    </row>
    <row r="6" spans="1:10" x14ac:dyDescent="0.35">
      <c r="A6">
        <v>28</v>
      </c>
      <c r="B6" s="2" t="s">
        <v>5</v>
      </c>
      <c r="C6" s="5">
        <v>0.69930000000000003</v>
      </c>
      <c r="D6" s="5">
        <v>0.52229999999999999</v>
      </c>
      <c r="E6" s="9">
        <v>0.81379999999999997</v>
      </c>
      <c r="F6" s="5">
        <v>0.58940000000000003</v>
      </c>
      <c r="G6" s="5">
        <v>0.52280000000000004</v>
      </c>
      <c r="H6" s="5">
        <v>0.28489999999999999</v>
      </c>
      <c r="I6" s="5">
        <v>0.16619999999999999</v>
      </c>
      <c r="J6" s="5">
        <v>0.66569999999999996</v>
      </c>
    </row>
    <row r="7" spans="1:10" x14ac:dyDescent="0.35">
      <c r="A7">
        <v>22</v>
      </c>
      <c r="B7" s="2" t="s">
        <v>6</v>
      </c>
      <c r="C7" s="5">
        <v>0.40300000000000002</v>
      </c>
      <c r="D7" s="5">
        <v>0.26369999999999999</v>
      </c>
      <c r="E7" s="9">
        <v>0.51380000000000003</v>
      </c>
      <c r="F7" s="5">
        <v>0.28110000000000002</v>
      </c>
      <c r="G7" s="5">
        <v>0.35389999999999999</v>
      </c>
      <c r="H7" s="5">
        <v>8.0600000000000005E-2</v>
      </c>
      <c r="I7" s="5">
        <v>6.0000000000000001E-3</v>
      </c>
      <c r="J7" s="5">
        <v>0.29039999999999999</v>
      </c>
    </row>
    <row r="8" spans="1:10" x14ac:dyDescent="0.35">
      <c r="A8">
        <v>26</v>
      </c>
      <c r="B8" s="2" t="s">
        <v>7</v>
      </c>
      <c r="C8" s="5">
        <v>0.4279</v>
      </c>
      <c r="D8" s="5">
        <v>0.31119999999999998</v>
      </c>
      <c r="E8" s="9">
        <v>0.52869999999999995</v>
      </c>
      <c r="F8" s="5">
        <v>0.30320000000000003</v>
      </c>
      <c r="G8" s="5">
        <v>0.37830000000000003</v>
      </c>
      <c r="H8" s="5">
        <v>8.7800000000000003E-2</v>
      </c>
      <c r="I8" s="5">
        <v>3.4599999999999999E-2</v>
      </c>
      <c r="J8" s="5">
        <v>0.32969999999999999</v>
      </c>
    </row>
    <row r="9" spans="1:10" x14ac:dyDescent="0.35">
      <c r="A9">
        <v>40</v>
      </c>
      <c r="B9" s="2" t="s">
        <v>27</v>
      </c>
      <c r="C9" s="5">
        <v>0.4924</v>
      </c>
      <c r="D9" s="5">
        <v>0.3624</v>
      </c>
      <c r="E9" s="9">
        <v>0.61240000000000006</v>
      </c>
      <c r="F9" s="5">
        <v>0.34289999999999998</v>
      </c>
      <c r="G9" s="5">
        <v>0.45369999999999999</v>
      </c>
      <c r="H9" s="5">
        <v>0.1055</v>
      </c>
      <c r="I9" s="5">
        <v>5.8900000000000001E-2</v>
      </c>
      <c r="J9" s="5">
        <v>0.3856</v>
      </c>
    </row>
    <row r="10" spans="1:10" x14ac:dyDescent="0.35">
      <c r="A10">
        <v>16</v>
      </c>
      <c r="B10" s="2" t="s">
        <v>8</v>
      </c>
      <c r="C10" s="5">
        <v>0.36849999999999999</v>
      </c>
      <c r="D10" s="5">
        <v>0.24049999999999999</v>
      </c>
      <c r="E10" s="9">
        <v>0.49320000000000003</v>
      </c>
      <c r="F10" s="5">
        <v>0.24629999999999999</v>
      </c>
      <c r="G10" s="5">
        <v>0.34339999999999998</v>
      </c>
      <c r="H10" s="5">
        <v>5.8500000000000003E-2</v>
      </c>
      <c r="I10" s="5">
        <v>1.0699999999999999E-2</v>
      </c>
      <c r="J10" s="5">
        <v>0.2515</v>
      </c>
    </row>
    <row r="11" spans="1:10" x14ac:dyDescent="0.35">
      <c r="A11">
        <v>15</v>
      </c>
      <c r="B11" s="2" t="s">
        <v>9</v>
      </c>
      <c r="C11" s="5">
        <v>0.33410000000000001</v>
      </c>
      <c r="D11" s="5">
        <v>0.2268</v>
      </c>
      <c r="E11" s="9">
        <v>0.46389999999999998</v>
      </c>
      <c r="F11" s="5">
        <v>0.22639999999999999</v>
      </c>
      <c r="G11" s="5">
        <v>0.3236</v>
      </c>
      <c r="H11" s="5">
        <v>5.2699999999999997E-2</v>
      </c>
      <c r="I11" s="5">
        <v>7.1000000000000004E-3</v>
      </c>
      <c r="J11" s="5">
        <v>0.22819999999999999</v>
      </c>
    </row>
    <row r="12" spans="1:10" x14ac:dyDescent="0.35">
      <c r="A12">
        <v>23</v>
      </c>
      <c r="B12" s="2" t="s">
        <v>28</v>
      </c>
      <c r="C12" s="5">
        <v>0.33810000000000001</v>
      </c>
      <c r="D12" s="5">
        <v>0.2311</v>
      </c>
      <c r="E12" s="9">
        <v>0.42530000000000001</v>
      </c>
      <c r="F12" s="5">
        <v>0.2162</v>
      </c>
      <c r="G12" s="5">
        <v>0.28939999999999999</v>
      </c>
      <c r="H12" s="5">
        <v>6.0499999999999998E-2</v>
      </c>
      <c r="I12" s="5">
        <v>3.5400000000000001E-2</v>
      </c>
      <c r="J12" s="5">
        <v>0.22589999999999999</v>
      </c>
    </row>
    <row r="13" spans="1:10" x14ac:dyDescent="0.35">
      <c r="A13">
        <v>6</v>
      </c>
      <c r="B13" s="2" t="s">
        <v>10</v>
      </c>
      <c r="C13" s="5">
        <v>0.25209999999999999</v>
      </c>
      <c r="D13" s="5">
        <v>0.15720000000000001</v>
      </c>
      <c r="E13" s="9">
        <v>0.36919999999999997</v>
      </c>
      <c r="F13" s="5">
        <v>0.15790000000000001</v>
      </c>
      <c r="G13" s="5">
        <v>0.23769999999999999</v>
      </c>
      <c r="H13" s="5">
        <v>3.7600000000000001E-2</v>
      </c>
      <c r="I13" s="5">
        <v>3.0000000000000001E-3</v>
      </c>
      <c r="J13" s="5">
        <v>0.1545</v>
      </c>
    </row>
    <row r="14" spans="1:10" x14ac:dyDescent="0.35">
      <c r="A14">
        <v>9</v>
      </c>
      <c r="B14" s="2" t="s">
        <v>23</v>
      </c>
      <c r="C14" s="5">
        <v>0.38</v>
      </c>
      <c r="D14" s="5">
        <v>0.25419999999999998</v>
      </c>
      <c r="E14" s="9">
        <v>0.49759999999999999</v>
      </c>
      <c r="F14" s="5">
        <v>0.23430000000000001</v>
      </c>
      <c r="G14" s="5">
        <v>0.32829999999999998</v>
      </c>
      <c r="H14" s="5">
        <v>7.9799999999999996E-2</v>
      </c>
      <c r="I14" s="5">
        <v>0.16400000000000001</v>
      </c>
      <c r="J14" s="5">
        <v>0.26640000000000003</v>
      </c>
    </row>
    <row r="15" spans="1:10" x14ac:dyDescent="0.35">
      <c r="A15">
        <v>8</v>
      </c>
      <c r="B15" s="2" t="s">
        <v>29</v>
      </c>
      <c r="C15" s="5">
        <v>0.3125</v>
      </c>
      <c r="D15" s="5">
        <v>0.184</v>
      </c>
      <c r="E15" s="9">
        <v>0.40660000000000002</v>
      </c>
      <c r="F15" s="5">
        <v>0.17330000000000001</v>
      </c>
      <c r="G15" s="5">
        <v>0.2641</v>
      </c>
      <c r="H15" s="5">
        <v>5.5E-2</v>
      </c>
      <c r="I15" s="5">
        <v>0.18579999999999999</v>
      </c>
      <c r="J15" s="5">
        <v>0.21049999999999999</v>
      </c>
    </row>
    <row r="16" spans="1:10" x14ac:dyDescent="0.35">
      <c r="A16">
        <v>7</v>
      </c>
      <c r="B16" s="2" t="s">
        <v>11</v>
      </c>
      <c r="C16" s="5">
        <v>0.2228</v>
      </c>
      <c r="D16" s="5">
        <v>0.12909999999999999</v>
      </c>
      <c r="E16" s="9">
        <v>0.32850000000000001</v>
      </c>
      <c r="F16" s="5">
        <v>0.11990000000000001</v>
      </c>
      <c r="G16" s="5">
        <v>0.2145</v>
      </c>
      <c r="H16" s="5">
        <v>3.0099999999999998E-2</v>
      </c>
      <c r="I16" s="5">
        <v>6.6E-3</v>
      </c>
      <c r="J16" s="5">
        <v>0.1328</v>
      </c>
    </row>
    <row r="17" spans="1:10" x14ac:dyDescent="0.35">
      <c r="A17">
        <v>14</v>
      </c>
      <c r="B17" s="2" t="s">
        <v>25</v>
      </c>
      <c r="C17" s="5">
        <v>0.34200000000000003</v>
      </c>
      <c r="D17" s="5">
        <v>0.2104</v>
      </c>
      <c r="E17" s="9">
        <v>0.45250000000000001</v>
      </c>
      <c r="F17" s="5">
        <v>0.2026</v>
      </c>
      <c r="G17" s="5">
        <v>0.2999</v>
      </c>
      <c r="H17" s="5">
        <v>6.4699999999999994E-2</v>
      </c>
      <c r="I17" s="5">
        <v>0.18129999999999999</v>
      </c>
      <c r="J17" s="5">
        <v>0.2208</v>
      </c>
    </row>
    <row r="18" spans="1:10" x14ac:dyDescent="0.35">
      <c r="A18">
        <v>13</v>
      </c>
      <c r="B18" s="2" t="s">
        <v>24</v>
      </c>
      <c r="C18" s="5">
        <v>0.30590000000000001</v>
      </c>
      <c r="D18" s="5">
        <v>0.18229999999999999</v>
      </c>
      <c r="E18" s="9">
        <v>0.43059999999999998</v>
      </c>
      <c r="F18" s="5">
        <v>0.16320000000000001</v>
      </c>
      <c r="G18" s="5">
        <v>0.27279999999999999</v>
      </c>
      <c r="H18" s="5">
        <v>5.67E-2</v>
      </c>
      <c r="I18" s="5">
        <v>4.1500000000000002E-2</v>
      </c>
      <c r="J18" s="5">
        <v>0.22950000000000001</v>
      </c>
    </row>
    <row r="19" spans="1:10" x14ac:dyDescent="0.35">
      <c r="A19">
        <v>69</v>
      </c>
      <c r="B19" s="2" t="s">
        <v>17</v>
      </c>
      <c r="C19" s="5">
        <v>0.25109999999999999</v>
      </c>
      <c r="D19" s="5">
        <v>0.14410000000000001</v>
      </c>
      <c r="E19" s="9">
        <v>0.3926</v>
      </c>
      <c r="F19" s="5">
        <v>0.16550000000000001</v>
      </c>
      <c r="G19" s="5">
        <v>0.22700000000000001</v>
      </c>
      <c r="H19" s="5">
        <v>5.8500000000000003E-2</v>
      </c>
      <c r="I19" s="5">
        <v>2.86E-2</v>
      </c>
      <c r="J19" s="5">
        <v>0.191</v>
      </c>
    </row>
    <row r="20" spans="1:10" x14ac:dyDescent="0.35">
      <c r="A20">
        <v>81</v>
      </c>
      <c r="B20" s="2" t="s">
        <v>12</v>
      </c>
      <c r="C20" s="5">
        <v>0.1721</v>
      </c>
      <c r="D20" s="5">
        <v>9.7000000000000003E-2</v>
      </c>
      <c r="E20" s="9">
        <v>0.25190000000000001</v>
      </c>
      <c r="F20" s="5">
        <v>6.3399999999999998E-2</v>
      </c>
      <c r="G20" s="5">
        <v>0.13469999999999999</v>
      </c>
      <c r="H20" s="5">
        <v>2.58E-2</v>
      </c>
      <c r="I20" s="5">
        <v>1.7899999999999999E-2</v>
      </c>
      <c r="J20" s="5">
        <v>9.3200000000000005E-2</v>
      </c>
    </row>
    <row r="21" spans="1:10" x14ac:dyDescent="0.35">
      <c r="A21">
        <v>82</v>
      </c>
      <c r="B21" s="2" t="s">
        <v>19</v>
      </c>
      <c r="C21" s="5">
        <v>0.4153</v>
      </c>
      <c r="D21" s="5">
        <v>0.2727</v>
      </c>
      <c r="E21" s="9">
        <v>0.49580000000000002</v>
      </c>
      <c r="F21" s="5">
        <v>0.23899999999999999</v>
      </c>
      <c r="G21" s="5">
        <v>0.31879999999999997</v>
      </c>
      <c r="H21" s="5">
        <v>8.3799999999999999E-2</v>
      </c>
      <c r="I21" s="5">
        <v>0.2422</v>
      </c>
      <c r="J21" s="5">
        <v>0.25569999999999998</v>
      </c>
    </row>
    <row r="22" spans="1:10" x14ac:dyDescent="0.35">
      <c r="A22">
        <v>132</v>
      </c>
      <c r="B22" s="2" t="s">
        <v>26</v>
      </c>
      <c r="C22" s="5">
        <v>0.34449999999999997</v>
      </c>
      <c r="D22" s="5">
        <v>0.27100000000000002</v>
      </c>
      <c r="E22" s="9">
        <v>0.4052</v>
      </c>
      <c r="F22" s="5">
        <v>0.23480000000000001</v>
      </c>
      <c r="G22" s="5">
        <v>0.2606</v>
      </c>
      <c r="H22" s="5">
        <v>0.12</v>
      </c>
      <c r="I22" s="5">
        <v>0.28260000000000002</v>
      </c>
      <c r="J22" s="5">
        <v>0.27479999999999999</v>
      </c>
    </row>
    <row r="23" spans="1:10" x14ac:dyDescent="0.35">
      <c r="A23">
        <v>141</v>
      </c>
      <c r="B23" s="2" t="s">
        <v>13</v>
      </c>
      <c r="C23" s="5">
        <v>0.1472</v>
      </c>
      <c r="D23" s="5">
        <v>9.7299999999999998E-2</v>
      </c>
      <c r="E23" s="9">
        <v>0.20669999999999999</v>
      </c>
      <c r="F23" s="5">
        <v>7.7899999999999997E-2</v>
      </c>
      <c r="G23" s="5">
        <v>0.1173</v>
      </c>
      <c r="H23" s="5">
        <v>2.93E-2</v>
      </c>
      <c r="I23" s="5">
        <v>5.7000000000000002E-3</v>
      </c>
      <c r="J23" s="5">
        <v>9.5200000000000007E-2</v>
      </c>
    </row>
    <row r="24" spans="1:10" x14ac:dyDescent="0.35">
      <c r="A24">
        <v>142</v>
      </c>
      <c r="B24" s="2" t="s">
        <v>20</v>
      </c>
      <c r="C24" s="5">
        <v>0.25569999999999998</v>
      </c>
      <c r="D24" s="5">
        <v>0.1777</v>
      </c>
      <c r="E24" s="9">
        <v>0.31369999999999998</v>
      </c>
      <c r="F24" s="5">
        <v>0.1552</v>
      </c>
      <c r="G24" s="5">
        <v>0.2019</v>
      </c>
      <c r="H24" s="5">
        <v>6.93E-2</v>
      </c>
      <c r="I24" s="5">
        <v>0.20519999999999999</v>
      </c>
      <c r="J24" s="5">
        <v>0.18609999999999999</v>
      </c>
    </row>
    <row r="25" spans="1:10" x14ac:dyDescent="0.35">
      <c r="A25">
        <v>203</v>
      </c>
      <c r="B25" s="2" t="s">
        <v>18</v>
      </c>
      <c r="C25" s="5">
        <v>0.40150000000000002</v>
      </c>
      <c r="D25" s="5">
        <v>0.29780000000000001</v>
      </c>
      <c r="E25" s="9">
        <v>0.4556</v>
      </c>
      <c r="F25" s="5">
        <v>0.26960000000000001</v>
      </c>
      <c r="G25" s="5">
        <v>0.3226</v>
      </c>
      <c r="H25" s="5">
        <v>0.1411</v>
      </c>
      <c r="I25" s="5">
        <v>0.33179999999999998</v>
      </c>
      <c r="J25" s="5">
        <v>0.30869999999999997</v>
      </c>
    </row>
    <row r="26" spans="1:10" x14ac:dyDescent="0.35">
      <c r="A26">
        <v>289</v>
      </c>
      <c r="B26" s="2" t="s">
        <v>31</v>
      </c>
      <c r="C26" s="9">
        <v>0.63929999999999998</v>
      </c>
      <c r="D26" s="5">
        <v>0.4929</v>
      </c>
      <c r="E26" s="5">
        <v>0.56069999999999998</v>
      </c>
      <c r="F26" s="5">
        <v>0.45710000000000001</v>
      </c>
      <c r="G26" s="5">
        <v>0.32500000000000001</v>
      </c>
      <c r="H26" s="5">
        <v>0.47139999999999999</v>
      </c>
      <c r="I26" s="5">
        <v>0.3821</v>
      </c>
      <c r="J26" s="5">
        <v>0.46789999999999998</v>
      </c>
    </row>
    <row r="27" spans="1:10" x14ac:dyDescent="0.35">
      <c r="A27">
        <v>288</v>
      </c>
      <c r="B27" s="2" t="s">
        <v>14</v>
      </c>
      <c r="C27" s="5">
        <v>0.26719999999999999</v>
      </c>
      <c r="D27" s="5">
        <v>0.20280000000000001</v>
      </c>
      <c r="E27" s="9">
        <v>0.29749999999999999</v>
      </c>
      <c r="F27" s="5">
        <v>0.1384</v>
      </c>
      <c r="G27" s="5">
        <v>0.20349999999999999</v>
      </c>
      <c r="H27" s="5">
        <v>8.14E-2</v>
      </c>
      <c r="I27" s="5">
        <v>0.2228</v>
      </c>
      <c r="J27" s="5">
        <v>0.19989999999999999</v>
      </c>
    </row>
    <row r="28" spans="1:10" x14ac:dyDescent="0.35">
      <c r="B28" s="7" t="s">
        <v>22</v>
      </c>
      <c r="C28" s="5">
        <f>AVERAGE(C6:C27)</f>
        <v>0.35329545454545452</v>
      </c>
      <c r="D28" s="5">
        <f t="shared" ref="D28:J28" si="0">AVERAGE(D6:D27)</f>
        <v>0.24220454545454542</v>
      </c>
      <c r="E28" s="9">
        <f t="shared" si="0"/>
        <v>0.44162727272727281</v>
      </c>
      <c r="F28" s="5">
        <f t="shared" si="0"/>
        <v>0.22989090909090903</v>
      </c>
      <c r="G28" s="5">
        <f t="shared" si="0"/>
        <v>0.29062727272727273</v>
      </c>
      <c r="H28" s="5">
        <f t="shared" si="0"/>
        <v>9.704545454545456E-2</v>
      </c>
      <c r="I28" s="5">
        <f t="shared" si="0"/>
        <v>0.11909090909090908</v>
      </c>
      <c r="J28" s="5">
        <f t="shared" si="0"/>
        <v>0.25745454545454544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2386-BE8F-46D2-A796-8CB49AA40B36}">
  <dimension ref="A1:S53"/>
  <sheetViews>
    <sheetView workbookViewId="0">
      <selection activeCell="R45" sqref="R45"/>
    </sheetView>
  </sheetViews>
  <sheetFormatPr defaultRowHeight="14.5" x14ac:dyDescent="0.35"/>
  <cols>
    <col min="2" max="2" width="15.54296875" customWidth="1"/>
    <col min="3" max="4" width="8.7265625" style="1"/>
    <col min="5" max="5" width="8.7265625" style="10"/>
    <col min="6" max="6" width="8.7265625" style="5"/>
    <col min="17" max="17" width="32.453125" style="1" customWidth="1"/>
    <col min="18" max="18" width="10.26953125" style="1" customWidth="1"/>
    <col min="19" max="19" width="8.7265625" style="1"/>
  </cols>
  <sheetData>
    <row r="1" spans="1:14" x14ac:dyDescent="0.35">
      <c r="A1" s="14"/>
      <c r="B1" s="68" t="s">
        <v>56</v>
      </c>
      <c r="C1" s="140" t="s">
        <v>15</v>
      </c>
      <c r="D1" s="141"/>
      <c r="E1" s="141"/>
      <c r="F1" s="142"/>
      <c r="G1" s="140" t="s">
        <v>16</v>
      </c>
      <c r="H1" s="141"/>
      <c r="I1" s="141"/>
      <c r="J1" s="142"/>
      <c r="K1" s="141" t="s">
        <v>55</v>
      </c>
      <c r="L1" s="141"/>
      <c r="M1" s="141"/>
      <c r="N1" s="141"/>
    </row>
    <row r="2" spans="1:14" x14ac:dyDescent="0.35">
      <c r="A2" s="14"/>
      <c r="B2" s="68" t="s">
        <v>57</v>
      </c>
      <c r="C2" s="140" t="s">
        <v>58</v>
      </c>
      <c r="D2" s="141"/>
      <c r="E2" s="141" t="s">
        <v>59</v>
      </c>
      <c r="F2" s="142"/>
      <c r="G2" s="140" t="s">
        <v>58</v>
      </c>
      <c r="H2" s="141"/>
      <c r="I2" s="141" t="s">
        <v>59</v>
      </c>
      <c r="J2" s="142"/>
      <c r="K2" s="141" t="s">
        <v>58</v>
      </c>
      <c r="L2" s="141"/>
      <c r="M2" s="141" t="s">
        <v>59</v>
      </c>
      <c r="N2" s="141"/>
    </row>
    <row r="3" spans="1:14" x14ac:dyDescent="0.35">
      <c r="A3" s="15" t="s">
        <v>43</v>
      </c>
      <c r="B3" s="16" t="s">
        <v>0</v>
      </c>
      <c r="C3" s="17" t="s">
        <v>52</v>
      </c>
      <c r="D3" s="18" t="s">
        <v>53</v>
      </c>
      <c r="E3" s="19" t="s">
        <v>52</v>
      </c>
      <c r="F3" s="20" t="s">
        <v>53</v>
      </c>
      <c r="G3" s="17" t="s">
        <v>52</v>
      </c>
      <c r="H3" s="18" t="s">
        <v>53</v>
      </c>
      <c r="I3" s="19" t="s">
        <v>52</v>
      </c>
      <c r="J3" s="20" t="s">
        <v>53</v>
      </c>
      <c r="K3" s="19" t="s">
        <v>52</v>
      </c>
      <c r="L3" s="18" t="s">
        <v>53</v>
      </c>
      <c r="M3" s="19" t="s">
        <v>52</v>
      </c>
      <c r="N3" s="21" t="s">
        <v>53</v>
      </c>
    </row>
    <row r="4" spans="1:14" x14ac:dyDescent="0.35">
      <c r="A4" s="14">
        <v>28</v>
      </c>
      <c r="B4" s="22" t="s">
        <v>5</v>
      </c>
      <c r="C4" s="23">
        <v>22.6</v>
      </c>
      <c r="D4" s="24">
        <v>0.89390000000000003</v>
      </c>
      <c r="E4" s="25">
        <v>21.8</v>
      </c>
      <c r="F4" s="26">
        <v>0.89710000000000001</v>
      </c>
      <c r="G4" s="27">
        <v>31.6</v>
      </c>
      <c r="H4" s="24">
        <v>0.89200000000000002</v>
      </c>
      <c r="I4" s="25">
        <v>22.4</v>
      </c>
      <c r="J4" s="26">
        <v>0.9022</v>
      </c>
      <c r="K4" s="28">
        <v>28.4</v>
      </c>
      <c r="L4" s="29">
        <v>0.90359999999999996</v>
      </c>
      <c r="M4" s="60">
        <v>24.8</v>
      </c>
      <c r="N4" s="13">
        <v>0.90639999999999998</v>
      </c>
    </row>
    <row r="5" spans="1:14" x14ac:dyDescent="0.35">
      <c r="A5" s="14">
        <v>22</v>
      </c>
      <c r="B5" s="22" t="s">
        <v>6</v>
      </c>
      <c r="C5" s="23">
        <v>22.8</v>
      </c>
      <c r="D5" s="24">
        <v>0.67190000000000005</v>
      </c>
      <c r="E5" s="25">
        <v>14.4</v>
      </c>
      <c r="F5" s="31">
        <v>0.70909999999999995</v>
      </c>
      <c r="G5" s="27">
        <v>16.600000000000001</v>
      </c>
      <c r="H5" s="24">
        <v>0.68755999999999995</v>
      </c>
      <c r="I5" s="25">
        <v>13.4</v>
      </c>
      <c r="J5" s="26">
        <v>0.69350000000000001</v>
      </c>
      <c r="K5" s="28">
        <v>15.2</v>
      </c>
      <c r="L5" s="29">
        <v>0.67800000000000005</v>
      </c>
      <c r="M5" s="60">
        <v>13.6</v>
      </c>
      <c r="N5" s="13">
        <v>0.72140000000000004</v>
      </c>
    </row>
    <row r="6" spans="1:14" x14ac:dyDescent="0.35">
      <c r="A6" s="14">
        <v>26</v>
      </c>
      <c r="B6" s="22" t="s">
        <v>7</v>
      </c>
      <c r="C6" s="23">
        <v>24.6</v>
      </c>
      <c r="D6" s="24">
        <v>0.74516000000000004</v>
      </c>
      <c r="E6" s="33">
        <v>16.2</v>
      </c>
      <c r="F6" s="31">
        <v>0.74539999999999995</v>
      </c>
      <c r="G6" s="27">
        <v>22</v>
      </c>
      <c r="H6" s="24">
        <v>0.74180000000000001</v>
      </c>
      <c r="I6" s="25">
        <v>15.6</v>
      </c>
      <c r="J6" s="26">
        <v>0.74890000000000001</v>
      </c>
      <c r="K6" s="28">
        <v>22</v>
      </c>
      <c r="L6" s="29">
        <v>0.7429</v>
      </c>
      <c r="M6" s="60">
        <v>16.2</v>
      </c>
      <c r="N6" s="13">
        <v>0.75619999999999998</v>
      </c>
    </row>
    <row r="7" spans="1:14" x14ac:dyDescent="0.35">
      <c r="A7" s="14">
        <v>40</v>
      </c>
      <c r="B7" s="22" t="s">
        <v>27</v>
      </c>
      <c r="C7" s="23">
        <v>25.8</v>
      </c>
      <c r="D7" s="24">
        <v>0.79893999999999998</v>
      </c>
      <c r="E7" s="25">
        <v>17</v>
      </c>
      <c r="F7" s="31">
        <v>0.80159999999999998</v>
      </c>
      <c r="G7" s="27">
        <v>21.6</v>
      </c>
      <c r="H7" s="24">
        <v>0.78342000000000001</v>
      </c>
      <c r="I7" s="25">
        <v>15</v>
      </c>
      <c r="J7" s="26">
        <v>0.79959999999999998</v>
      </c>
      <c r="K7" s="28">
        <v>19.2</v>
      </c>
      <c r="L7" s="29">
        <v>0.78900000000000003</v>
      </c>
      <c r="M7" s="60">
        <v>15.4</v>
      </c>
      <c r="N7" s="13">
        <v>0.81079999999999997</v>
      </c>
    </row>
    <row r="8" spans="1:14" x14ac:dyDescent="0.35">
      <c r="A8" s="14">
        <v>16</v>
      </c>
      <c r="B8" s="22" t="s">
        <v>8</v>
      </c>
      <c r="C8" s="23">
        <v>22.8</v>
      </c>
      <c r="D8" s="34">
        <v>0.73065999999999998</v>
      </c>
      <c r="E8" s="25">
        <v>14.2</v>
      </c>
      <c r="F8" s="35">
        <v>0.72519999999999996</v>
      </c>
      <c r="G8" s="27">
        <v>21</v>
      </c>
      <c r="H8" s="24">
        <v>0.72463999999999995</v>
      </c>
      <c r="I8" s="25">
        <v>13.4</v>
      </c>
      <c r="J8" s="26">
        <v>0.72860000000000003</v>
      </c>
      <c r="K8" s="28">
        <v>18.600000000000001</v>
      </c>
      <c r="L8" s="29">
        <v>0.73070000000000002</v>
      </c>
      <c r="M8" s="60">
        <v>13.8</v>
      </c>
      <c r="N8" s="13">
        <v>0.74199999999999999</v>
      </c>
    </row>
    <row r="9" spans="1:14" x14ac:dyDescent="0.35">
      <c r="A9" s="14">
        <v>15</v>
      </c>
      <c r="B9" s="22" t="s">
        <v>9</v>
      </c>
      <c r="C9" s="23">
        <v>23.8</v>
      </c>
      <c r="D9" s="34">
        <v>0.72470000000000001</v>
      </c>
      <c r="E9" s="33">
        <v>14.2</v>
      </c>
      <c r="F9" s="35">
        <v>0.72089999999999999</v>
      </c>
      <c r="G9" s="27">
        <v>18.8</v>
      </c>
      <c r="H9" s="24">
        <v>0.71423999999999999</v>
      </c>
      <c r="I9" s="25">
        <v>13.6</v>
      </c>
      <c r="J9" s="26">
        <v>0.71530000000000005</v>
      </c>
      <c r="K9" s="28">
        <v>18.2</v>
      </c>
      <c r="L9" s="29">
        <v>0.70809999999999995</v>
      </c>
      <c r="M9" s="60">
        <v>15.4</v>
      </c>
      <c r="N9" s="13">
        <v>0.73950000000000005</v>
      </c>
    </row>
    <row r="10" spans="1:14" x14ac:dyDescent="0.35">
      <c r="A10" s="14">
        <v>23</v>
      </c>
      <c r="B10" s="22" t="s">
        <v>28</v>
      </c>
      <c r="C10" s="23">
        <v>23</v>
      </c>
      <c r="D10" s="34">
        <v>0.74939999999999996</v>
      </c>
      <c r="E10" s="33">
        <v>17.600000000000001</v>
      </c>
      <c r="F10" s="35">
        <v>0.72109999999999996</v>
      </c>
      <c r="G10" s="27">
        <v>24.6</v>
      </c>
      <c r="H10" s="24">
        <v>0.68413999999999997</v>
      </c>
      <c r="I10" s="25">
        <v>19</v>
      </c>
      <c r="J10" s="26">
        <v>0.7369</v>
      </c>
      <c r="K10" s="28">
        <v>22.8</v>
      </c>
      <c r="L10" s="29">
        <v>0.70499999999999996</v>
      </c>
      <c r="M10" s="60">
        <v>15.2</v>
      </c>
      <c r="N10" s="13">
        <v>0.751</v>
      </c>
    </row>
    <row r="11" spans="1:14" x14ac:dyDescent="0.35">
      <c r="A11" s="14">
        <v>6</v>
      </c>
      <c r="B11" s="22" t="s">
        <v>10</v>
      </c>
      <c r="C11" s="23">
        <v>23</v>
      </c>
      <c r="D11" s="34">
        <v>0.70786000000000004</v>
      </c>
      <c r="E11" s="25">
        <v>14.4</v>
      </c>
      <c r="F11" s="37">
        <v>0.68379999999999996</v>
      </c>
      <c r="G11" s="27">
        <v>19.600000000000001</v>
      </c>
      <c r="H11" s="34">
        <v>0.72265999999999997</v>
      </c>
      <c r="I11" s="25">
        <v>15.8</v>
      </c>
      <c r="J11" s="38">
        <v>0.71409999999999996</v>
      </c>
      <c r="K11" s="28">
        <v>21.2</v>
      </c>
      <c r="L11" s="30">
        <v>0.74019999999999997</v>
      </c>
      <c r="M11" s="60">
        <v>15.4</v>
      </c>
      <c r="N11" s="12">
        <v>0.73560000000000003</v>
      </c>
    </row>
    <row r="12" spans="1:14" x14ac:dyDescent="0.35">
      <c r="A12" s="14">
        <v>9</v>
      </c>
      <c r="B12" s="22" t="s">
        <v>23</v>
      </c>
      <c r="C12" s="23">
        <v>29.8</v>
      </c>
      <c r="D12" s="34">
        <v>0.83265999999999996</v>
      </c>
      <c r="E12" s="25">
        <v>19.8</v>
      </c>
      <c r="F12" s="37">
        <v>0.79879999999999995</v>
      </c>
      <c r="G12" s="27">
        <v>30.8</v>
      </c>
      <c r="H12" s="24">
        <v>0.7681</v>
      </c>
      <c r="I12" s="25">
        <v>21.4</v>
      </c>
      <c r="J12" s="26">
        <v>0.82050000000000001</v>
      </c>
      <c r="K12" s="28">
        <v>31.6</v>
      </c>
      <c r="L12" s="29">
        <v>0.77759999999999996</v>
      </c>
      <c r="M12" s="60">
        <v>23.8</v>
      </c>
      <c r="N12" s="13">
        <v>0.83230000000000004</v>
      </c>
    </row>
    <row r="13" spans="1:14" x14ac:dyDescent="0.35">
      <c r="A13" s="14">
        <v>8</v>
      </c>
      <c r="B13" s="22" t="s">
        <v>29</v>
      </c>
      <c r="C13" s="23">
        <v>24.2</v>
      </c>
      <c r="D13" s="34">
        <v>0.75129999999999997</v>
      </c>
      <c r="E13" s="25">
        <v>19</v>
      </c>
      <c r="F13" s="37">
        <v>0.72609999999999997</v>
      </c>
      <c r="G13" s="27">
        <v>24.4</v>
      </c>
      <c r="H13" s="24">
        <v>0.67349999999999999</v>
      </c>
      <c r="I13" s="25">
        <v>20</v>
      </c>
      <c r="J13" s="26">
        <v>0.74990000000000001</v>
      </c>
      <c r="K13" s="28">
        <v>23</v>
      </c>
      <c r="L13" s="29">
        <v>0.67579999999999996</v>
      </c>
      <c r="M13" s="60">
        <v>21.6</v>
      </c>
      <c r="N13" s="13">
        <v>0.76429999999999998</v>
      </c>
    </row>
    <row r="14" spans="1:14" x14ac:dyDescent="0.35">
      <c r="A14" s="14">
        <v>7</v>
      </c>
      <c r="B14" s="22" t="s">
        <v>11</v>
      </c>
      <c r="C14" s="23">
        <v>26.2</v>
      </c>
      <c r="D14" s="34">
        <v>0.72728000000000004</v>
      </c>
      <c r="E14" s="33">
        <v>19.8</v>
      </c>
      <c r="F14" s="38">
        <v>0.71699999999999997</v>
      </c>
      <c r="G14" s="27">
        <v>20.399999999999999</v>
      </c>
      <c r="H14" s="24">
        <v>0.71257999999999999</v>
      </c>
      <c r="I14" s="33">
        <v>18.2</v>
      </c>
      <c r="J14" s="26">
        <v>0.73540000000000005</v>
      </c>
      <c r="K14" s="28">
        <v>21.6</v>
      </c>
      <c r="L14" s="29">
        <v>0.73450000000000004</v>
      </c>
      <c r="M14" s="60">
        <v>19.399999999999999</v>
      </c>
      <c r="N14" s="13">
        <v>0.75309999999999999</v>
      </c>
    </row>
    <row r="15" spans="1:14" x14ac:dyDescent="0.35">
      <c r="A15" s="14">
        <v>14</v>
      </c>
      <c r="B15" s="22" t="s">
        <v>25</v>
      </c>
      <c r="C15" s="23">
        <v>25</v>
      </c>
      <c r="D15" s="34">
        <v>0.82325999999999999</v>
      </c>
      <c r="E15" s="25">
        <v>19</v>
      </c>
      <c r="F15" s="37">
        <v>0.79420000000000002</v>
      </c>
      <c r="G15" s="27">
        <v>25</v>
      </c>
      <c r="H15" s="24">
        <v>0.754</v>
      </c>
      <c r="I15" s="25">
        <v>18.8</v>
      </c>
      <c r="J15" s="26">
        <v>0.81899999999999995</v>
      </c>
      <c r="K15" s="28">
        <v>24.2</v>
      </c>
      <c r="L15" s="29">
        <v>0.74980000000000002</v>
      </c>
      <c r="M15" s="60">
        <v>23.8</v>
      </c>
      <c r="N15" s="13">
        <v>0.83960000000000001</v>
      </c>
    </row>
    <row r="16" spans="1:14" x14ac:dyDescent="0.35">
      <c r="A16" s="14">
        <v>13</v>
      </c>
      <c r="B16" s="22" t="s">
        <v>24</v>
      </c>
      <c r="C16" s="23">
        <v>24</v>
      </c>
      <c r="D16" s="34">
        <v>0.84392</v>
      </c>
      <c r="E16" s="25">
        <v>20</v>
      </c>
      <c r="F16" s="37">
        <v>0.81769999999999998</v>
      </c>
      <c r="G16" s="27">
        <v>36.799999999999997</v>
      </c>
      <c r="H16" s="24">
        <v>0.79288000000000003</v>
      </c>
      <c r="I16" s="25">
        <v>29.2</v>
      </c>
      <c r="J16" s="26">
        <v>0.83889999999999998</v>
      </c>
      <c r="K16" s="28">
        <v>29.8</v>
      </c>
      <c r="L16" s="29">
        <v>0.78600000000000003</v>
      </c>
      <c r="M16" s="60">
        <v>21.8</v>
      </c>
      <c r="N16" s="13">
        <v>0.85109999999999997</v>
      </c>
    </row>
    <row r="17" spans="1:19" x14ac:dyDescent="0.35">
      <c r="A17" s="14">
        <v>69</v>
      </c>
      <c r="B17" s="22" t="s">
        <v>17</v>
      </c>
      <c r="C17" s="23">
        <v>24.6</v>
      </c>
      <c r="D17" s="34">
        <v>0.78586</v>
      </c>
      <c r="E17" s="25">
        <v>20.399999999999999</v>
      </c>
      <c r="F17" s="37">
        <v>0.76249999999999996</v>
      </c>
      <c r="G17" s="27">
        <v>22</v>
      </c>
      <c r="H17" s="24">
        <v>0.76232</v>
      </c>
      <c r="I17" s="25">
        <v>20.399999999999999</v>
      </c>
      <c r="J17" s="26">
        <v>0.7863</v>
      </c>
      <c r="K17" s="28">
        <v>20.8</v>
      </c>
      <c r="L17" s="29">
        <v>0.77680000000000005</v>
      </c>
      <c r="M17" s="60">
        <v>20.2</v>
      </c>
      <c r="N17" s="13">
        <v>0.79549999999999998</v>
      </c>
    </row>
    <row r="18" spans="1:19" x14ac:dyDescent="0.35">
      <c r="A18" s="14">
        <v>81</v>
      </c>
      <c r="B18" s="22" t="s">
        <v>12</v>
      </c>
      <c r="C18" s="23">
        <v>23.2</v>
      </c>
      <c r="D18" s="34">
        <v>0.70731999999999995</v>
      </c>
      <c r="E18" s="25">
        <v>18</v>
      </c>
      <c r="F18" s="37">
        <v>0.67669999999999997</v>
      </c>
      <c r="G18" s="27">
        <v>19</v>
      </c>
      <c r="H18" s="24">
        <v>0.68901999999999997</v>
      </c>
      <c r="I18" s="25">
        <v>17.8</v>
      </c>
      <c r="J18" s="26">
        <v>0.69010000000000005</v>
      </c>
      <c r="K18" s="28">
        <v>20.6</v>
      </c>
      <c r="L18" s="29">
        <v>0.71819999999999995</v>
      </c>
      <c r="M18" s="60">
        <v>18</v>
      </c>
      <c r="N18" s="13">
        <v>0.70879999999999999</v>
      </c>
    </row>
    <row r="19" spans="1:19" x14ac:dyDescent="0.35">
      <c r="A19" s="14">
        <v>82</v>
      </c>
      <c r="B19" s="22" t="s">
        <v>19</v>
      </c>
      <c r="C19" s="23">
        <v>23.2</v>
      </c>
      <c r="D19" s="34">
        <v>0.83365999999999996</v>
      </c>
      <c r="E19" s="32">
        <v>19.2</v>
      </c>
      <c r="F19" s="38">
        <v>0.81020000000000003</v>
      </c>
      <c r="G19" s="27">
        <v>23.2</v>
      </c>
      <c r="H19" s="24">
        <v>0.76737999999999995</v>
      </c>
      <c r="I19" s="25">
        <v>19.2</v>
      </c>
      <c r="J19" s="26">
        <v>0.82650000000000001</v>
      </c>
      <c r="K19" s="28">
        <v>22.6</v>
      </c>
      <c r="L19" s="29">
        <v>0.78400000000000003</v>
      </c>
      <c r="M19" s="60">
        <v>18.399999999999999</v>
      </c>
      <c r="N19" s="13">
        <v>0.81699999999999995</v>
      </c>
    </row>
    <row r="20" spans="1:19" x14ac:dyDescent="0.35">
      <c r="A20" s="14">
        <v>132</v>
      </c>
      <c r="B20" s="22" t="s">
        <v>26</v>
      </c>
      <c r="C20" s="23">
        <v>29</v>
      </c>
      <c r="D20" s="24">
        <v>0.72643999999999997</v>
      </c>
      <c r="E20" s="32">
        <v>22.4</v>
      </c>
      <c r="F20" s="26">
        <v>0.75739999999999996</v>
      </c>
      <c r="G20" s="39">
        <v>25.8</v>
      </c>
      <c r="H20" s="24">
        <v>0.70064000000000004</v>
      </c>
      <c r="I20" s="28">
        <v>26.8</v>
      </c>
      <c r="J20" s="26">
        <v>0.76770000000000005</v>
      </c>
      <c r="K20" s="25">
        <v>22</v>
      </c>
      <c r="L20" s="29">
        <v>0.71870000000000001</v>
      </c>
      <c r="M20" s="57">
        <v>28.2</v>
      </c>
      <c r="N20" s="13">
        <v>0.76519999999999999</v>
      </c>
    </row>
    <row r="21" spans="1:19" x14ac:dyDescent="0.35">
      <c r="A21" s="14">
        <v>141</v>
      </c>
      <c r="B21" s="22" t="s">
        <v>13</v>
      </c>
      <c r="C21" s="23">
        <v>22.6</v>
      </c>
      <c r="D21" s="34">
        <v>0.61514000000000002</v>
      </c>
      <c r="E21" s="32">
        <v>17.600000000000001</v>
      </c>
      <c r="F21" s="38">
        <v>0.57399999999999995</v>
      </c>
      <c r="G21" s="27">
        <v>20.2</v>
      </c>
      <c r="H21" s="34">
        <v>0.62734000000000001</v>
      </c>
      <c r="I21" s="25">
        <v>15.2</v>
      </c>
      <c r="J21" s="38">
        <v>0.58379999999999999</v>
      </c>
      <c r="K21" s="28">
        <v>20.399999999999999</v>
      </c>
      <c r="L21" s="30">
        <v>0.64770000000000005</v>
      </c>
      <c r="M21" s="60">
        <v>14.8</v>
      </c>
      <c r="N21" s="12">
        <v>0.60599999999999998</v>
      </c>
    </row>
    <row r="22" spans="1:19" x14ac:dyDescent="0.35">
      <c r="A22" s="14">
        <v>142</v>
      </c>
      <c r="B22" s="22" t="s">
        <v>20</v>
      </c>
      <c r="C22" s="23">
        <v>20.2</v>
      </c>
      <c r="D22" s="34">
        <v>0.64581999999999995</v>
      </c>
      <c r="E22" s="25">
        <v>17</v>
      </c>
      <c r="F22" s="38">
        <v>0.63790000000000002</v>
      </c>
      <c r="G22" s="27">
        <v>19.399999999999999</v>
      </c>
      <c r="H22" s="24">
        <v>0.58575999999999995</v>
      </c>
      <c r="I22" s="33">
        <v>16.600000000000001</v>
      </c>
      <c r="J22" s="40">
        <v>0.65249999999999997</v>
      </c>
      <c r="K22" s="28">
        <v>24.4</v>
      </c>
      <c r="L22" s="29">
        <v>0.63500000000000001</v>
      </c>
      <c r="M22" s="60">
        <v>15.2</v>
      </c>
      <c r="N22" s="13">
        <v>0.65959999999999996</v>
      </c>
    </row>
    <row r="23" spans="1:19" x14ac:dyDescent="0.35">
      <c r="A23" s="14">
        <v>203</v>
      </c>
      <c r="B23" s="22" t="s">
        <v>18</v>
      </c>
      <c r="C23" s="23">
        <v>25</v>
      </c>
      <c r="D23" s="34">
        <v>0.80012000000000005</v>
      </c>
      <c r="E23" s="25">
        <v>21.2</v>
      </c>
      <c r="F23" s="38">
        <v>0.78690000000000004</v>
      </c>
      <c r="G23" s="27">
        <v>25</v>
      </c>
      <c r="H23" s="24">
        <v>0.78112000000000004</v>
      </c>
      <c r="I23" s="25">
        <v>19.2</v>
      </c>
      <c r="J23" s="26">
        <v>0.80130000000000001</v>
      </c>
      <c r="K23" s="28">
        <v>32.4</v>
      </c>
      <c r="L23" s="29">
        <v>0.78859999999999997</v>
      </c>
      <c r="M23" s="60">
        <v>22.4</v>
      </c>
      <c r="N23" s="13">
        <v>0.81799999999999995</v>
      </c>
    </row>
    <row r="24" spans="1:19" x14ac:dyDescent="0.35">
      <c r="A24" s="14">
        <v>289</v>
      </c>
      <c r="B24" s="22" t="s">
        <v>31</v>
      </c>
      <c r="C24" s="42">
        <v>23.6</v>
      </c>
      <c r="D24" s="24">
        <v>0.60711999999999999</v>
      </c>
      <c r="E24" s="28">
        <v>50</v>
      </c>
      <c r="F24" s="26">
        <v>0.84289999999999998</v>
      </c>
      <c r="G24" s="39">
        <v>40.6</v>
      </c>
      <c r="H24" s="34">
        <v>0.97141999999999995</v>
      </c>
      <c r="I24" s="28">
        <v>42.8</v>
      </c>
      <c r="J24" s="38">
        <v>0.84289999999999998</v>
      </c>
      <c r="K24" s="25">
        <v>40</v>
      </c>
      <c r="L24" s="30">
        <v>0.97140000000000004</v>
      </c>
      <c r="M24" s="57">
        <v>50</v>
      </c>
      <c r="N24" s="12">
        <v>0.7571</v>
      </c>
    </row>
    <row r="25" spans="1:19" x14ac:dyDescent="0.35">
      <c r="A25" s="14">
        <v>288</v>
      </c>
      <c r="B25" s="22" t="s">
        <v>14</v>
      </c>
      <c r="C25" s="23">
        <v>23</v>
      </c>
      <c r="D25" s="34">
        <v>0.65802000000000005</v>
      </c>
      <c r="E25" s="25">
        <v>17.2</v>
      </c>
      <c r="F25" s="38">
        <v>0.64470000000000005</v>
      </c>
      <c r="G25" s="43">
        <v>29.4</v>
      </c>
      <c r="H25" s="44">
        <v>0.61882000000000004</v>
      </c>
      <c r="I25" s="45">
        <v>24.6</v>
      </c>
      <c r="J25" s="46">
        <v>0.66020000000000001</v>
      </c>
      <c r="K25" s="47">
        <v>23</v>
      </c>
      <c r="L25" s="48">
        <v>0.62990000000000002</v>
      </c>
      <c r="M25" s="61">
        <v>22.8</v>
      </c>
      <c r="N25" s="58">
        <v>0.66759999999999997</v>
      </c>
    </row>
    <row r="26" spans="1:19" x14ac:dyDescent="0.35">
      <c r="A26" s="49"/>
      <c r="B26" s="50" t="s">
        <v>22</v>
      </c>
      <c r="C26" s="51">
        <f t="shared" ref="C26:J26" si="0">AVERAGE(C4:C25)</f>
        <v>24.181818181818183</v>
      </c>
      <c r="D26" s="52">
        <f t="shared" si="0"/>
        <v>0.74456545454545453</v>
      </c>
      <c r="E26" s="53">
        <f t="shared" si="0"/>
        <v>19.563636363636366</v>
      </c>
      <c r="F26" s="54">
        <f t="shared" si="0"/>
        <v>0.74323636363636358</v>
      </c>
      <c r="G26" s="51">
        <f t="shared" si="0"/>
        <v>24.445454545454549</v>
      </c>
      <c r="H26" s="55">
        <f t="shared" si="0"/>
        <v>0.73433363636363636</v>
      </c>
      <c r="I26" s="53">
        <f t="shared" si="0"/>
        <v>19.927272727272729</v>
      </c>
      <c r="J26" s="56">
        <f t="shared" si="0"/>
        <v>0.75518636363636371</v>
      </c>
      <c r="K26" s="41">
        <f t="shared" ref="K26" si="1">AVERAGE(K4:K25)</f>
        <v>23.727272727272727</v>
      </c>
      <c r="L26" s="36">
        <f t="shared" ref="L26" si="2">AVERAGE(L4:L25)</f>
        <v>0.7450681818181818</v>
      </c>
      <c r="M26" s="33">
        <f t="shared" ref="M26" si="3">AVERAGE(M4:M25)</f>
        <v>20.463636363636365</v>
      </c>
      <c r="N26" s="59">
        <f t="shared" ref="N26" si="4">AVERAGE(N4:N25)</f>
        <v>0.76355000000000006</v>
      </c>
    </row>
    <row r="28" spans="1:19" x14ac:dyDescent="0.35">
      <c r="A28" s="14"/>
      <c r="B28" s="68" t="s">
        <v>56</v>
      </c>
      <c r="C28" s="140" t="s">
        <v>15</v>
      </c>
      <c r="D28" s="141"/>
      <c r="E28" s="141"/>
      <c r="F28" s="142"/>
      <c r="G28" s="140" t="s">
        <v>16</v>
      </c>
      <c r="H28" s="141"/>
      <c r="I28" s="141"/>
      <c r="J28" s="142"/>
      <c r="K28" s="141" t="s">
        <v>55</v>
      </c>
      <c r="L28" s="141"/>
      <c r="M28" s="141"/>
      <c r="N28" s="141"/>
      <c r="P28" s="68"/>
    </row>
    <row r="29" spans="1:19" x14ac:dyDescent="0.35">
      <c r="A29" s="14"/>
      <c r="B29" s="68" t="s">
        <v>57</v>
      </c>
      <c r="C29" s="140" t="s">
        <v>58</v>
      </c>
      <c r="D29" s="141"/>
      <c r="E29" s="141" t="s">
        <v>59</v>
      </c>
      <c r="F29" s="142"/>
      <c r="G29" s="140" t="s">
        <v>58</v>
      </c>
      <c r="H29" s="141"/>
      <c r="I29" s="141" t="s">
        <v>59</v>
      </c>
      <c r="J29" s="142"/>
      <c r="K29" s="141" t="s">
        <v>58</v>
      </c>
      <c r="L29" s="141"/>
      <c r="M29" s="141" t="s">
        <v>59</v>
      </c>
      <c r="N29" s="141"/>
      <c r="P29" s="68"/>
    </row>
    <row r="30" spans="1:19" x14ac:dyDescent="0.35">
      <c r="A30" s="15" t="s">
        <v>43</v>
      </c>
      <c r="B30" s="16" t="s">
        <v>0</v>
      </c>
      <c r="C30" s="17" t="s">
        <v>52</v>
      </c>
      <c r="D30" s="18" t="s">
        <v>53</v>
      </c>
      <c r="E30" s="19" t="s">
        <v>52</v>
      </c>
      <c r="F30" s="20" t="s">
        <v>53</v>
      </c>
      <c r="G30" s="17" t="s">
        <v>52</v>
      </c>
      <c r="H30" s="18" t="s">
        <v>53</v>
      </c>
      <c r="I30" s="19" t="s">
        <v>52</v>
      </c>
      <c r="J30" s="20" t="s">
        <v>53</v>
      </c>
      <c r="K30" s="19" t="s">
        <v>52</v>
      </c>
      <c r="L30" s="18" t="s">
        <v>53</v>
      </c>
      <c r="M30" s="19" t="s">
        <v>52</v>
      </c>
      <c r="N30" s="21" t="s">
        <v>53</v>
      </c>
      <c r="P30" s="82" t="s">
        <v>0</v>
      </c>
      <c r="Q30" s="66" t="s">
        <v>56</v>
      </c>
      <c r="R30" s="66" t="s">
        <v>57</v>
      </c>
      <c r="S30" s="66" t="s">
        <v>53</v>
      </c>
    </row>
    <row r="31" spans="1:19" x14ac:dyDescent="0.35">
      <c r="A31" s="14">
        <v>28</v>
      </c>
      <c r="B31" s="22" t="s">
        <v>5</v>
      </c>
      <c r="C31" s="23">
        <v>22.6</v>
      </c>
      <c r="D31" s="24">
        <v>0.89390000000000003</v>
      </c>
      <c r="E31" s="25">
        <v>21.8</v>
      </c>
      <c r="F31" s="26">
        <v>0.89710000000000001</v>
      </c>
      <c r="G31" s="27">
        <v>31.6</v>
      </c>
      <c r="H31" s="24">
        <v>0.89200000000000002</v>
      </c>
      <c r="I31" s="25">
        <v>22.4</v>
      </c>
      <c r="J31" s="26">
        <v>0.9022</v>
      </c>
      <c r="K31" s="28">
        <v>28.4</v>
      </c>
      <c r="L31" s="29">
        <v>0.90359999999999996</v>
      </c>
      <c r="M31" s="60">
        <v>24.8</v>
      </c>
      <c r="N31" s="78">
        <v>0.90639999999999998</v>
      </c>
      <c r="P31" s="22" t="s">
        <v>5</v>
      </c>
      <c r="Q31" s="1" t="s">
        <v>55</v>
      </c>
      <c r="R31" s="1" t="s">
        <v>59</v>
      </c>
      <c r="S31" s="105">
        <f t="shared" ref="S31:S50" si="5">MAX(D31,F31,H31,J31,L31,N31)</f>
        <v>0.90639999999999998</v>
      </c>
    </row>
    <row r="32" spans="1:19" x14ac:dyDescent="0.35">
      <c r="A32" s="14">
        <v>22</v>
      </c>
      <c r="B32" s="22" t="s">
        <v>6</v>
      </c>
      <c r="C32" s="23">
        <v>22.8</v>
      </c>
      <c r="D32" s="24">
        <v>0.67190000000000005</v>
      </c>
      <c r="E32" s="25">
        <v>14.4</v>
      </c>
      <c r="F32" s="31">
        <v>0.70909999999999995</v>
      </c>
      <c r="G32" s="27">
        <v>16.600000000000001</v>
      </c>
      <c r="H32" s="24">
        <v>0.68755999999999995</v>
      </c>
      <c r="I32" s="25">
        <v>13.4</v>
      </c>
      <c r="J32" s="26">
        <v>0.69350000000000001</v>
      </c>
      <c r="K32" s="28">
        <v>15.2</v>
      </c>
      <c r="L32" s="29">
        <v>0.67800000000000005</v>
      </c>
      <c r="M32" s="60">
        <v>13.6</v>
      </c>
      <c r="N32" s="78">
        <v>0.72140000000000004</v>
      </c>
      <c r="P32" s="22" t="s">
        <v>6</v>
      </c>
      <c r="Q32" s="1" t="s">
        <v>65</v>
      </c>
      <c r="R32" s="1" t="s">
        <v>58</v>
      </c>
      <c r="S32" s="105">
        <v>0.72509999999999997</v>
      </c>
    </row>
    <row r="33" spans="1:19" x14ac:dyDescent="0.35">
      <c r="A33" s="14">
        <v>26</v>
      </c>
      <c r="B33" s="22" t="s">
        <v>7</v>
      </c>
      <c r="C33" s="23">
        <v>24.6</v>
      </c>
      <c r="D33" s="24">
        <v>0.74516000000000004</v>
      </c>
      <c r="E33" s="33">
        <v>16.2</v>
      </c>
      <c r="F33" s="31">
        <v>0.74539999999999995</v>
      </c>
      <c r="G33" s="27">
        <v>22</v>
      </c>
      <c r="H33" s="24">
        <v>0.74180000000000001</v>
      </c>
      <c r="I33" s="25">
        <v>15.6</v>
      </c>
      <c r="J33" s="26">
        <v>0.74890000000000001</v>
      </c>
      <c r="K33" s="28">
        <v>22</v>
      </c>
      <c r="L33" s="29">
        <v>0.7429</v>
      </c>
      <c r="M33" s="60">
        <v>16.2</v>
      </c>
      <c r="N33" s="78">
        <v>0.75619999999999998</v>
      </c>
      <c r="P33" s="22" t="s">
        <v>7</v>
      </c>
      <c r="Q33" s="1" t="s">
        <v>65</v>
      </c>
      <c r="R33" s="1" t="s">
        <v>58</v>
      </c>
      <c r="S33" s="105">
        <v>0.76200000000000001</v>
      </c>
    </row>
    <row r="34" spans="1:19" x14ac:dyDescent="0.35">
      <c r="A34" s="14">
        <v>40</v>
      </c>
      <c r="B34" s="22" t="s">
        <v>27</v>
      </c>
      <c r="C34" s="23">
        <v>25.8</v>
      </c>
      <c r="D34" s="24">
        <v>0.79893999999999998</v>
      </c>
      <c r="E34" s="25">
        <v>17</v>
      </c>
      <c r="F34" s="31">
        <v>0.80159999999999998</v>
      </c>
      <c r="G34" s="27">
        <v>21.6</v>
      </c>
      <c r="H34" s="24">
        <v>0.78342000000000001</v>
      </c>
      <c r="I34" s="25">
        <v>15</v>
      </c>
      <c r="J34" s="26">
        <v>0.79959999999999998</v>
      </c>
      <c r="K34" s="28">
        <v>19.2</v>
      </c>
      <c r="L34" s="29">
        <v>0.78900000000000003</v>
      </c>
      <c r="M34" s="60">
        <v>15.4</v>
      </c>
      <c r="N34" s="78">
        <v>0.81079999999999997</v>
      </c>
      <c r="P34" s="22" t="s">
        <v>27</v>
      </c>
      <c r="Q34" s="1" t="s">
        <v>55</v>
      </c>
      <c r="R34" s="1" t="s">
        <v>59</v>
      </c>
      <c r="S34" s="105">
        <f t="shared" si="5"/>
        <v>0.81079999999999997</v>
      </c>
    </row>
    <row r="35" spans="1:19" x14ac:dyDescent="0.35">
      <c r="A35" s="14">
        <v>16</v>
      </c>
      <c r="B35" s="22" t="s">
        <v>8</v>
      </c>
      <c r="C35" s="23">
        <v>22.8</v>
      </c>
      <c r="D35" s="34">
        <v>0.73065999999999998</v>
      </c>
      <c r="E35" s="25">
        <v>14.2</v>
      </c>
      <c r="F35" s="35">
        <v>0.72519999999999996</v>
      </c>
      <c r="G35" s="27">
        <v>21</v>
      </c>
      <c r="H35" s="24">
        <v>0.72463999999999995</v>
      </c>
      <c r="I35" s="25">
        <v>13.4</v>
      </c>
      <c r="J35" s="26">
        <v>0.72860000000000003</v>
      </c>
      <c r="K35" s="28">
        <v>18.600000000000001</v>
      </c>
      <c r="L35" s="29">
        <v>0.73070000000000002</v>
      </c>
      <c r="M35" s="60">
        <v>13.8</v>
      </c>
      <c r="N35" s="78">
        <v>0.74199999999999999</v>
      </c>
      <c r="P35" s="22" t="s">
        <v>8</v>
      </c>
      <c r="Q35" s="1" t="s">
        <v>65</v>
      </c>
      <c r="R35" s="1" t="s">
        <v>58</v>
      </c>
      <c r="S35" s="105">
        <v>0.74560000000000004</v>
      </c>
    </row>
    <row r="36" spans="1:19" x14ac:dyDescent="0.35">
      <c r="A36" s="14">
        <v>15</v>
      </c>
      <c r="B36" s="22" t="s">
        <v>9</v>
      </c>
      <c r="C36" s="23">
        <v>23.8</v>
      </c>
      <c r="D36" s="34">
        <v>0.72470000000000001</v>
      </c>
      <c r="E36" s="33">
        <v>14.2</v>
      </c>
      <c r="F36" s="35">
        <v>0.72089999999999999</v>
      </c>
      <c r="G36" s="27">
        <v>18.8</v>
      </c>
      <c r="H36" s="24">
        <v>0.71423999999999999</v>
      </c>
      <c r="I36" s="25">
        <v>13.6</v>
      </c>
      <c r="J36" s="26">
        <v>0.71530000000000005</v>
      </c>
      <c r="K36" s="28">
        <v>18.2</v>
      </c>
      <c r="L36" s="29">
        <v>0.70809999999999995</v>
      </c>
      <c r="M36" s="60">
        <v>15.4</v>
      </c>
      <c r="N36" s="78">
        <v>0.73950000000000005</v>
      </c>
      <c r="P36" s="22" t="s">
        <v>9</v>
      </c>
      <c r="Q36" s="1" t="s">
        <v>75</v>
      </c>
      <c r="R36" s="1" t="s">
        <v>58</v>
      </c>
      <c r="S36" s="105">
        <v>0.74509999999999998</v>
      </c>
    </row>
    <row r="37" spans="1:19" ht="29" x14ac:dyDescent="0.35">
      <c r="A37" s="14">
        <v>23</v>
      </c>
      <c r="B37" s="22" t="s">
        <v>28</v>
      </c>
      <c r="C37" s="23">
        <v>23</v>
      </c>
      <c r="D37" s="34">
        <v>0.74939999999999996</v>
      </c>
      <c r="E37" s="33">
        <v>17.600000000000001</v>
      </c>
      <c r="F37" s="35">
        <v>0.72109999999999996</v>
      </c>
      <c r="G37" s="27">
        <v>24.6</v>
      </c>
      <c r="H37" s="24">
        <v>0.68413999999999997</v>
      </c>
      <c r="I37" s="25">
        <v>19</v>
      </c>
      <c r="J37" s="26">
        <v>0.7369</v>
      </c>
      <c r="K37" s="28">
        <v>22.8</v>
      </c>
      <c r="L37" s="29">
        <v>0.70499999999999996</v>
      </c>
      <c r="M37" s="60">
        <v>15.2</v>
      </c>
      <c r="N37" s="78">
        <v>0.751</v>
      </c>
      <c r="P37" s="137" t="s">
        <v>28</v>
      </c>
      <c r="Q37" s="11" t="s">
        <v>79</v>
      </c>
      <c r="R37" s="138" t="s">
        <v>59</v>
      </c>
      <c r="S37" s="103">
        <v>0.83140000000000003</v>
      </c>
    </row>
    <row r="38" spans="1:19" x14ac:dyDescent="0.35">
      <c r="A38" s="14">
        <v>6</v>
      </c>
      <c r="B38" s="22" t="s">
        <v>10</v>
      </c>
      <c r="C38" s="23">
        <v>23</v>
      </c>
      <c r="D38" s="34">
        <v>0.70786000000000004</v>
      </c>
      <c r="E38" s="25">
        <v>14.4</v>
      </c>
      <c r="F38" s="37">
        <v>0.68379999999999996</v>
      </c>
      <c r="G38" s="27">
        <v>19.600000000000001</v>
      </c>
      <c r="H38" s="34">
        <v>0.72265999999999997</v>
      </c>
      <c r="I38" s="25">
        <v>15.8</v>
      </c>
      <c r="J38" s="38">
        <v>0.71409999999999996</v>
      </c>
      <c r="K38" s="28">
        <v>21.2</v>
      </c>
      <c r="L38" s="78">
        <v>0.74019999999999997</v>
      </c>
      <c r="M38" s="60">
        <v>15.4</v>
      </c>
      <c r="N38" s="12">
        <v>0.73560000000000003</v>
      </c>
      <c r="P38" s="22" t="s">
        <v>10</v>
      </c>
      <c r="Q38" s="1" t="s">
        <v>65</v>
      </c>
      <c r="R38" s="1" t="s">
        <v>58</v>
      </c>
      <c r="S38" s="105">
        <v>0.74770000000000003</v>
      </c>
    </row>
    <row r="39" spans="1:19" x14ac:dyDescent="0.35">
      <c r="A39" s="14">
        <v>9</v>
      </c>
      <c r="B39" s="22" t="s">
        <v>23</v>
      </c>
      <c r="C39" s="23">
        <v>29.8</v>
      </c>
      <c r="D39" s="79">
        <v>0.83265999999999996</v>
      </c>
      <c r="E39" s="25">
        <v>19.8</v>
      </c>
      <c r="F39" s="37">
        <v>0.79879999999999995</v>
      </c>
      <c r="G39" s="27">
        <v>30.8</v>
      </c>
      <c r="H39" s="24">
        <v>0.7681</v>
      </c>
      <c r="I39" s="25">
        <v>21.4</v>
      </c>
      <c r="J39" s="26">
        <v>0.82050000000000001</v>
      </c>
      <c r="K39" s="28">
        <v>31.6</v>
      </c>
      <c r="L39" s="29">
        <v>0.77759999999999996</v>
      </c>
      <c r="M39" s="60">
        <v>23.8</v>
      </c>
      <c r="N39" s="13">
        <v>0.83230000000000004</v>
      </c>
      <c r="P39" s="22" t="s">
        <v>23</v>
      </c>
      <c r="Q39" s="1" t="s">
        <v>65</v>
      </c>
      <c r="R39" s="1" t="s">
        <v>59</v>
      </c>
      <c r="S39" s="105">
        <v>0.8528</v>
      </c>
    </row>
    <row r="40" spans="1:19" x14ac:dyDescent="0.35">
      <c r="A40" s="14">
        <v>8</v>
      </c>
      <c r="B40" s="22" t="s">
        <v>29</v>
      </c>
      <c r="C40" s="23">
        <v>24.2</v>
      </c>
      <c r="D40" s="34">
        <v>0.75129999999999997</v>
      </c>
      <c r="E40" s="25">
        <v>19</v>
      </c>
      <c r="F40" s="37">
        <v>0.72609999999999997</v>
      </c>
      <c r="G40" s="27">
        <v>24.4</v>
      </c>
      <c r="H40" s="24">
        <v>0.67349999999999999</v>
      </c>
      <c r="I40" s="25">
        <v>20</v>
      </c>
      <c r="J40" s="26">
        <v>0.74990000000000001</v>
      </c>
      <c r="K40" s="28">
        <v>23</v>
      </c>
      <c r="L40" s="29">
        <v>0.67579999999999996</v>
      </c>
      <c r="M40" s="60">
        <v>21.6</v>
      </c>
      <c r="N40" s="78">
        <v>0.76429999999999998</v>
      </c>
      <c r="P40" s="22" t="s">
        <v>29</v>
      </c>
      <c r="Q40" s="1" t="s">
        <v>65</v>
      </c>
      <c r="R40" s="1" t="s">
        <v>59</v>
      </c>
      <c r="S40" s="105">
        <v>0.78859999999999997</v>
      </c>
    </row>
    <row r="41" spans="1:19" x14ac:dyDescent="0.35">
      <c r="A41" s="14">
        <v>7</v>
      </c>
      <c r="B41" s="22" t="s">
        <v>11</v>
      </c>
      <c r="C41" s="23">
        <v>26.2</v>
      </c>
      <c r="D41" s="34">
        <v>0.72728000000000004</v>
      </c>
      <c r="E41" s="33">
        <v>19.8</v>
      </c>
      <c r="F41" s="38">
        <v>0.71699999999999997</v>
      </c>
      <c r="G41" s="27">
        <v>20.399999999999999</v>
      </c>
      <c r="H41" s="24">
        <v>0.71257999999999999</v>
      </c>
      <c r="I41" s="33">
        <v>18.2</v>
      </c>
      <c r="J41" s="26">
        <v>0.73540000000000005</v>
      </c>
      <c r="K41" s="28">
        <v>21.6</v>
      </c>
      <c r="L41" s="29">
        <v>0.73450000000000004</v>
      </c>
      <c r="M41" s="60">
        <v>19.399999999999999</v>
      </c>
      <c r="N41" s="78">
        <v>0.75309999999999999</v>
      </c>
      <c r="P41" s="22" t="s">
        <v>11</v>
      </c>
      <c r="Q41" s="1" t="s">
        <v>65</v>
      </c>
      <c r="R41" s="1" t="s">
        <v>59</v>
      </c>
      <c r="S41" s="105">
        <v>0.76729999999999998</v>
      </c>
    </row>
    <row r="42" spans="1:19" x14ac:dyDescent="0.35">
      <c r="A42" s="14">
        <v>14</v>
      </c>
      <c r="B42" s="22" t="s">
        <v>25</v>
      </c>
      <c r="C42" s="23">
        <v>25</v>
      </c>
      <c r="D42" s="34">
        <v>0.82325999999999999</v>
      </c>
      <c r="E42" s="25">
        <v>19</v>
      </c>
      <c r="F42" s="37">
        <v>0.79420000000000002</v>
      </c>
      <c r="G42" s="27">
        <v>25</v>
      </c>
      <c r="H42" s="24">
        <v>0.754</v>
      </c>
      <c r="I42" s="25">
        <v>18.8</v>
      </c>
      <c r="J42" s="26">
        <v>0.81899999999999995</v>
      </c>
      <c r="K42" s="28">
        <v>24.2</v>
      </c>
      <c r="L42" s="29">
        <v>0.74980000000000002</v>
      </c>
      <c r="M42" s="60">
        <v>23.8</v>
      </c>
      <c r="N42" s="78">
        <v>0.83960000000000001</v>
      </c>
      <c r="P42" s="22" t="s">
        <v>25</v>
      </c>
      <c r="Q42" s="1" t="s">
        <v>55</v>
      </c>
      <c r="R42" s="1" t="s">
        <v>59</v>
      </c>
      <c r="S42" s="105">
        <f t="shared" si="5"/>
        <v>0.83960000000000001</v>
      </c>
    </row>
    <row r="43" spans="1:19" x14ac:dyDescent="0.35">
      <c r="A43" s="14">
        <v>13</v>
      </c>
      <c r="B43" s="22" t="s">
        <v>24</v>
      </c>
      <c r="C43" s="23">
        <v>24</v>
      </c>
      <c r="D43" s="34">
        <v>0.84392</v>
      </c>
      <c r="E43" s="25">
        <v>20</v>
      </c>
      <c r="F43" s="37">
        <v>0.81769999999999998</v>
      </c>
      <c r="G43" s="27">
        <v>36.799999999999997</v>
      </c>
      <c r="H43" s="24">
        <v>0.79288000000000003</v>
      </c>
      <c r="I43" s="25">
        <v>29.2</v>
      </c>
      <c r="J43" s="26">
        <v>0.83889999999999998</v>
      </c>
      <c r="K43" s="28">
        <v>29.8</v>
      </c>
      <c r="L43" s="29">
        <v>0.78600000000000003</v>
      </c>
      <c r="M43" s="60">
        <v>21.8</v>
      </c>
      <c r="N43" s="78">
        <v>0.85109999999999997</v>
      </c>
      <c r="P43" s="22" t="s">
        <v>24</v>
      </c>
      <c r="Q43" s="1" t="s">
        <v>65</v>
      </c>
      <c r="R43" s="1" t="s">
        <v>59</v>
      </c>
      <c r="S43" s="105">
        <v>0.86419999999999997</v>
      </c>
    </row>
    <row r="44" spans="1:19" x14ac:dyDescent="0.35">
      <c r="A44" s="14">
        <v>69</v>
      </c>
      <c r="B44" s="22" t="s">
        <v>17</v>
      </c>
      <c r="C44" s="23">
        <v>24.6</v>
      </c>
      <c r="D44" s="34">
        <v>0.78586</v>
      </c>
      <c r="E44" s="25">
        <v>20.399999999999999</v>
      </c>
      <c r="F44" s="37">
        <v>0.76249999999999996</v>
      </c>
      <c r="G44" s="27">
        <v>22</v>
      </c>
      <c r="H44" s="24">
        <v>0.76232</v>
      </c>
      <c r="I44" s="25">
        <v>20.399999999999999</v>
      </c>
      <c r="J44" s="26">
        <v>0.7863</v>
      </c>
      <c r="K44" s="28">
        <v>20.8</v>
      </c>
      <c r="L44" s="29">
        <v>0.77680000000000005</v>
      </c>
      <c r="M44" s="60">
        <v>20.2</v>
      </c>
      <c r="N44" s="78">
        <v>0.79549999999999998</v>
      </c>
      <c r="P44" s="22" t="s">
        <v>17</v>
      </c>
      <c r="Q44" s="1" t="s">
        <v>65</v>
      </c>
      <c r="R44" s="1" t="s">
        <v>58</v>
      </c>
      <c r="S44" s="105">
        <v>0.80249999999999999</v>
      </c>
    </row>
    <row r="45" spans="1:19" x14ac:dyDescent="0.35">
      <c r="A45" s="14">
        <v>81</v>
      </c>
      <c r="B45" s="22" t="s">
        <v>12</v>
      </c>
      <c r="C45" s="23">
        <v>23.2</v>
      </c>
      <c r="D45" s="34">
        <v>0.70731999999999995</v>
      </c>
      <c r="E45" s="25">
        <v>18</v>
      </c>
      <c r="F45" s="37">
        <v>0.67669999999999997</v>
      </c>
      <c r="G45" s="27">
        <v>19</v>
      </c>
      <c r="H45" s="24">
        <v>0.68901999999999997</v>
      </c>
      <c r="I45" s="25">
        <v>17.8</v>
      </c>
      <c r="J45" s="26">
        <v>0.69010000000000005</v>
      </c>
      <c r="K45" s="28">
        <v>20.6</v>
      </c>
      <c r="L45" s="29">
        <v>0.71819999999999995</v>
      </c>
      <c r="M45" s="60">
        <v>18</v>
      </c>
      <c r="N45" s="78">
        <v>0.70879999999999999</v>
      </c>
      <c r="P45" s="22" t="s">
        <v>12</v>
      </c>
      <c r="Q45" s="1" t="s">
        <v>65</v>
      </c>
      <c r="R45" s="1" t="s">
        <v>59</v>
      </c>
      <c r="S45" s="105">
        <v>0.72470000000000001</v>
      </c>
    </row>
    <row r="46" spans="1:19" x14ac:dyDescent="0.35">
      <c r="A46" s="14">
        <v>82</v>
      </c>
      <c r="B46" s="22" t="s">
        <v>19</v>
      </c>
      <c r="C46" s="23">
        <v>23.2</v>
      </c>
      <c r="D46" s="79">
        <v>0.83365999999999996</v>
      </c>
      <c r="E46" s="32">
        <v>19.2</v>
      </c>
      <c r="F46" s="38">
        <v>0.81020000000000003</v>
      </c>
      <c r="G46" s="27">
        <v>23.2</v>
      </c>
      <c r="H46" s="24">
        <v>0.76737999999999995</v>
      </c>
      <c r="I46" s="25">
        <v>19.2</v>
      </c>
      <c r="J46" s="26">
        <v>0.82650000000000001</v>
      </c>
      <c r="K46" s="28">
        <v>22.6</v>
      </c>
      <c r="L46" s="29">
        <v>0.78400000000000003</v>
      </c>
      <c r="M46" s="60">
        <v>18.399999999999999</v>
      </c>
      <c r="N46" s="13">
        <v>0.81699999999999995</v>
      </c>
      <c r="P46" s="22" t="s">
        <v>19</v>
      </c>
      <c r="Q46" s="1" t="s">
        <v>65</v>
      </c>
      <c r="R46" s="1" t="s">
        <v>58</v>
      </c>
      <c r="S46" s="105">
        <v>0.83960000000000001</v>
      </c>
    </row>
    <row r="47" spans="1:19" x14ac:dyDescent="0.35">
      <c r="A47" s="14">
        <v>132</v>
      </c>
      <c r="B47" s="22" t="s">
        <v>26</v>
      </c>
      <c r="C47" s="23">
        <v>29</v>
      </c>
      <c r="D47" s="24">
        <v>0.72643999999999997</v>
      </c>
      <c r="E47" s="32">
        <v>22.4</v>
      </c>
      <c r="F47" s="26">
        <v>0.75739999999999996</v>
      </c>
      <c r="G47" s="39">
        <v>25.8</v>
      </c>
      <c r="H47" s="24">
        <v>0.70064000000000004</v>
      </c>
      <c r="I47" s="28">
        <v>26.8</v>
      </c>
      <c r="J47" s="80">
        <v>0.76770000000000005</v>
      </c>
      <c r="K47" s="25">
        <v>22</v>
      </c>
      <c r="L47" s="29">
        <v>0.71870000000000001</v>
      </c>
      <c r="M47" s="57">
        <v>28.2</v>
      </c>
      <c r="N47" s="13">
        <v>0.76519999999999999</v>
      </c>
      <c r="P47" s="22" t="s">
        <v>26</v>
      </c>
      <c r="Q47" s="1" t="s">
        <v>55</v>
      </c>
      <c r="R47" s="1" t="s">
        <v>59</v>
      </c>
      <c r="S47" s="105">
        <v>0.76519999999999999</v>
      </c>
    </row>
    <row r="48" spans="1:19" x14ac:dyDescent="0.35">
      <c r="A48" s="14">
        <v>141</v>
      </c>
      <c r="B48" s="22" t="s">
        <v>13</v>
      </c>
      <c r="C48" s="23">
        <v>22.6</v>
      </c>
      <c r="D48" s="34">
        <v>0.61514000000000002</v>
      </c>
      <c r="E48" s="32">
        <v>17.600000000000001</v>
      </c>
      <c r="F48" s="38">
        <v>0.57399999999999995</v>
      </c>
      <c r="G48" s="27">
        <v>20.2</v>
      </c>
      <c r="H48" s="34">
        <v>0.62734000000000001</v>
      </c>
      <c r="I48" s="25">
        <v>15.2</v>
      </c>
      <c r="J48" s="38">
        <v>0.58379999999999999</v>
      </c>
      <c r="K48" s="28">
        <v>20.399999999999999</v>
      </c>
      <c r="L48" s="78">
        <v>0.64770000000000005</v>
      </c>
      <c r="M48" s="60">
        <v>14.8</v>
      </c>
      <c r="N48" s="12">
        <v>0.60599999999999998</v>
      </c>
      <c r="P48" s="22" t="s">
        <v>13</v>
      </c>
      <c r="Q48" s="1" t="s">
        <v>55</v>
      </c>
      <c r="R48" s="1" t="s">
        <v>58</v>
      </c>
      <c r="S48" s="105">
        <f t="shared" si="5"/>
        <v>0.64770000000000005</v>
      </c>
    </row>
    <row r="49" spans="1:19" x14ac:dyDescent="0.35">
      <c r="A49" s="14">
        <v>142</v>
      </c>
      <c r="B49" s="22" t="s">
        <v>20</v>
      </c>
      <c r="C49" s="23">
        <v>20.2</v>
      </c>
      <c r="D49" s="34">
        <v>0.64581999999999995</v>
      </c>
      <c r="E49" s="25">
        <v>17</v>
      </c>
      <c r="F49" s="38">
        <v>0.63790000000000002</v>
      </c>
      <c r="G49" s="27">
        <v>19.399999999999999</v>
      </c>
      <c r="H49" s="24">
        <v>0.58575999999999995</v>
      </c>
      <c r="I49" s="33">
        <v>16.600000000000001</v>
      </c>
      <c r="J49" s="40">
        <v>0.65249999999999997</v>
      </c>
      <c r="K49" s="28">
        <v>24.4</v>
      </c>
      <c r="L49" s="29">
        <v>0.63500000000000001</v>
      </c>
      <c r="M49" s="60">
        <v>15.2</v>
      </c>
      <c r="N49" s="78">
        <v>0.65959999999999996</v>
      </c>
      <c r="P49" s="22" t="s">
        <v>20</v>
      </c>
      <c r="Q49" s="1" t="s">
        <v>65</v>
      </c>
      <c r="R49" s="1" t="s">
        <v>58</v>
      </c>
      <c r="S49" s="105">
        <v>0.66249999999999998</v>
      </c>
    </row>
    <row r="50" spans="1:19" x14ac:dyDescent="0.35">
      <c r="A50" s="14">
        <v>203</v>
      </c>
      <c r="B50" s="22" t="s">
        <v>18</v>
      </c>
      <c r="C50" s="23">
        <v>25</v>
      </c>
      <c r="D50" s="34">
        <v>0.80012000000000005</v>
      </c>
      <c r="E50" s="25">
        <v>21.2</v>
      </c>
      <c r="F50" s="38">
        <v>0.78690000000000004</v>
      </c>
      <c r="G50" s="27">
        <v>25</v>
      </c>
      <c r="H50" s="24">
        <v>0.78112000000000004</v>
      </c>
      <c r="I50" s="25">
        <v>19.2</v>
      </c>
      <c r="J50" s="26">
        <v>0.80130000000000001</v>
      </c>
      <c r="K50" s="28">
        <v>32.4</v>
      </c>
      <c r="L50" s="29">
        <v>0.78859999999999997</v>
      </c>
      <c r="M50" s="60">
        <v>22.4</v>
      </c>
      <c r="N50" s="78">
        <v>0.81799999999999995</v>
      </c>
      <c r="P50" s="22" t="s">
        <v>18</v>
      </c>
      <c r="Q50" s="1" t="s">
        <v>55</v>
      </c>
      <c r="R50" s="1" t="s">
        <v>59</v>
      </c>
      <c r="S50" s="105">
        <f t="shared" si="5"/>
        <v>0.81799999999999995</v>
      </c>
    </row>
    <row r="51" spans="1:19" x14ac:dyDescent="0.35">
      <c r="A51" s="14">
        <v>289</v>
      </c>
      <c r="B51" s="22" t="s">
        <v>31</v>
      </c>
      <c r="C51" s="42">
        <v>23.6</v>
      </c>
      <c r="D51" s="24">
        <v>0.60711999999999999</v>
      </c>
      <c r="E51" s="28">
        <v>50</v>
      </c>
      <c r="F51" s="26">
        <v>0.84289999999999998</v>
      </c>
      <c r="G51" s="39">
        <v>40.6</v>
      </c>
      <c r="H51" s="79">
        <v>0.97141999999999995</v>
      </c>
      <c r="I51" s="28">
        <v>42.8</v>
      </c>
      <c r="J51" s="38">
        <v>0.84289999999999998</v>
      </c>
      <c r="K51" s="25">
        <v>40</v>
      </c>
      <c r="L51" s="78">
        <v>0.97140000000000004</v>
      </c>
      <c r="M51" s="57">
        <v>50</v>
      </c>
      <c r="N51" s="12">
        <v>0.7571</v>
      </c>
      <c r="P51" s="22" t="s">
        <v>31</v>
      </c>
      <c r="Q51" s="1" t="s">
        <v>65</v>
      </c>
      <c r="R51" s="1" t="s">
        <v>58</v>
      </c>
      <c r="S51" s="105">
        <v>1</v>
      </c>
    </row>
    <row r="52" spans="1:19" x14ac:dyDescent="0.35">
      <c r="A52" s="14">
        <v>288</v>
      </c>
      <c r="B52" s="22" t="s">
        <v>14</v>
      </c>
      <c r="C52" s="23">
        <v>23</v>
      </c>
      <c r="D52" s="34">
        <v>0.65802000000000005</v>
      </c>
      <c r="E52" s="25">
        <v>17.2</v>
      </c>
      <c r="F52" s="38">
        <v>0.64470000000000005</v>
      </c>
      <c r="G52" s="43">
        <v>29.4</v>
      </c>
      <c r="H52" s="44">
        <v>0.61882000000000004</v>
      </c>
      <c r="I52" s="45">
        <v>24.6</v>
      </c>
      <c r="J52" s="46">
        <v>0.66020000000000001</v>
      </c>
      <c r="K52" s="47">
        <v>23</v>
      </c>
      <c r="L52" s="48">
        <v>0.62990000000000002</v>
      </c>
      <c r="M52" s="61">
        <v>22.8</v>
      </c>
      <c r="N52" s="81">
        <v>0.66759999999999997</v>
      </c>
      <c r="P52" s="22" t="s">
        <v>14</v>
      </c>
      <c r="Q52" s="1" t="s">
        <v>65</v>
      </c>
      <c r="R52" s="1" t="s">
        <v>59</v>
      </c>
      <c r="S52" s="105">
        <v>0.68620000000000003</v>
      </c>
    </row>
    <row r="53" spans="1:19" x14ac:dyDescent="0.35">
      <c r="A53" s="49"/>
      <c r="B53" s="50" t="s">
        <v>22</v>
      </c>
      <c r="C53" s="51">
        <f t="shared" ref="C53:N53" si="6">AVERAGE(C31:C52)</f>
        <v>24.181818181818183</v>
      </c>
      <c r="D53" s="52">
        <f t="shared" si="6"/>
        <v>0.74456545454545453</v>
      </c>
      <c r="E53" s="53">
        <f t="shared" si="6"/>
        <v>19.563636363636366</v>
      </c>
      <c r="F53" s="54">
        <f t="shared" si="6"/>
        <v>0.74323636363636358</v>
      </c>
      <c r="G53" s="51">
        <f t="shared" si="6"/>
        <v>24.445454545454549</v>
      </c>
      <c r="H53" s="55">
        <f t="shared" si="6"/>
        <v>0.73433363636363636</v>
      </c>
      <c r="I53" s="53">
        <f t="shared" si="6"/>
        <v>19.927272727272729</v>
      </c>
      <c r="J53" s="56">
        <f t="shared" si="6"/>
        <v>0.75518636363636371</v>
      </c>
      <c r="K53" s="41">
        <f t="shared" si="6"/>
        <v>23.727272727272727</v>
      </c>
      <c r="L53" s="36">
        <f t="shared" si="6"/>
        <v>0.7450681818181818</v>
      </c>
      <c r="M53" s="33">
        <f t="shared" si="6"/>
        <v>20.463636363636365</v>
      </c>
      <c r="N53" s="59">
        <f t="shared" si="6"/>
        <v>0.76355000000000006</v>
      </c>
      <c r="P53" s="74" t="s">
        <v>22</v>
      </c>
      <c r="Q53" s="83"/>
      <c r="R53" s="83"/>
      <c r="S53" s="133">
        <f>AVERAGE(S31:S52)</f>
        <v>0.78786363636363643</v>
      </c>
    </row>
  </sheetData>
  <mergeCells count="18">
    <mergeCell ref="K1:N1"/>
    <mergeCell ref="K2:L2"/>
    <mergeCell ref="M2:N2"/>
    <mergeCell ref="C2:D2"/>
    <mergeCell ref="E2:F2"/>
    <mergeCell ref="C1:F1"/>
    <mergeCell ref="G1:J1"/>
    <mergeCell ref="G2:H2"/>
    <mergeCell ref="I2:J2"/>
    <mergeCell ref="C28:F28"/>
    <mergeCell ref="G28:J28"/>
    <mergeCell ref="K28:N28"/>
    <mergeCell ref="C29:D29"/>
    <mergeCell ref="E29:F29"/>
    <mergeCell ref="G29:H29"/>
    <mergeCell ref="I29:J29"/>
    <mergeCell ref="K29:L29"/>
    <mergeCell ref="M29:N29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DB14-493D-4AA6-B1C8-5DB3EEA4FD6E}">
  <dimension ref="A1:O134"/>
  <sheetViews>
    <sheetView workbookViewId="0">
      <selection activeCell="K133" sqref="K133"/>
    </sheetView>
  </sheetViews>
  <sheetFormatPr defaultRowHeight="14.5" x14ac:dyDescent="0.35"/>
  <cols>
    <col min="2" max="2" width="15.54296875" customWidth="1"/>
    <col min="3" max="4" width="8.36328125" customWidth="1"/>
    <col min="5" max="6" width="8.6328125" style="1" customWidth="1"/>
    <col min="7" max="7" width="8.7265625" style="1"/>
    <col min="8" max="8" width="8.453125" style="1" customWidth="1"/>
    <col min="9" max="10" width="8.7265625" style="1"/>
    <col min="11" max="12" width="8.7265625" style="10"/>
    <col min="13" max="13" width="8.7265625" style="5"/>
  </cols>
  <sheetData>
    <row r="1" spans="1:14" x14ac:dyDescent="0.35">
      <c r="A1" s="14"/>
      <c r="B1" s="68" t="s">
        <v>56</v>
      </c>
      <c r="C1" s="147" t="s">
        <v>15</v>
      </c>
      <c r="D1" s="147"/>
      <c r="E1" s="147"/>
      <c r="F1" s="147"/>
      <c r="G1" s="147"/>
      <c r="H1" s="147"/>
      <c r="I1" s="147"/>
      <c r="J1" s="147"/>
      <c r="K1" s="141"/>
      <c r="L1" s="141"/>
      <c r="M1" s="141"/>
    </row>
    <row r="2" spans="1:14" x14ac:dyDescent="0.35">
      <c r="A2" s="49"/>
      <c r="B2" s="50" t="s">
        <v>57</v>
      </c>
      <c r="C2" s="144" t="s">
        <v>61</v>
      </c>
      <c r="D2" s="145"/>
      <c r="E2" s="145"/>
      <c r="F2" s="146"/>
      <c r="G2" s="144" t="s">
        <v>58</v>
      </c>
      <c r="H2" s="145"/>
      <c r="I2" s="145"/>
      <c r="J2" s="146"/>
      <c r="K2" s="144" t="s">
        <v>59</v>
      </c>
      <c r="L2" s="145"/>
      <c r="M2" s="145"/>
      <c r="N2" s="145"/>
    </row>
    <row r="3" spans="1:14" x14ac:dyDescent="0.35">
      <c r="A3" s="15" t="s">
        <v>43</v>
      </c>
      <c r="B3" s="16" t="s">
        <v>0</v>
      </c>
      <c r="C3" s="149" t="s">
        <v>52</v>
      </c>
      <c r="D3" s="150"/>
      <c r="E3" s="147" t="s">
        <v>53</v>
      </c>
      <c r="F3" s="151"/>
      <c r="G3" s="149" t="s">
        <v>52</v>
      </c>
      <c r="H3" s="150"/>
      <c r="I3" s="147" t="s">
        <v>53</v>
      </c>
      <c r="J3" s="151"/>
      <c r="K3" s="149" t="s">
        <v>52</v>
      </c>
      <c r="L3" s="150"/>
      <c r="M3" s="143" t="s">
        <v>53</v>
      </c>
      <c r="N3" s="143"/>
    </row>
    <row r="4" spans="1:14" x14ac:dyDescent="0.35">
      <c r="A4" s="14">
        <v>28</v>
      </c>
      <c r="B4" s="22" t="s">
        <v>5</v>
      </c>
      <c r="C4" s="86">
        <v>42.2</v>
      </c>
      <c r="D4" s="96">
        <v>4.9558</v>
      </c>
      <c r="E4" s="102">
        <v>0.81</v>
      </c>
      <c r="F4" s="110">
        <v>1.9E-2</v>
      </c>
      <c r="G4" s="23">
        <v>22.6</v>
      </c>
      <c r="H4" s="91">
        <v>1.02</v>
      </c>
      <c r="I4" s="112">
        <v>0.89390000000000003</v>
      </c>
      <c r="J4" s="115">
        <v>1.21E-2</v>
      </c>
      <c r="K4" s="39">
        <v>21.8</v>
      </c>
      <c r="L4" s="91">
        <v>1.32</v>
      </c>
      <c r="M4" s="118">
        <v>0.89710000000000001</v>
      </c>
      <c r="N4" s="115">
        <v>8.3000000000000001E-3</v>
      </c>
    </row>
    <row r="5" spans="1:14" x14ac:dyDescent="0.35">
      <c r="A5" s="14">
        <v>22</v>
      </c>
      <c r="B5" s="22" t="s">
        <v>6</v>
      </c>
      <c r="C5" s="72">
        <v>28.2</v>
      </c>
      <c r="D5" s="96">
        <v>2.6381999999999999</v>
      </c>
      <c r="E5" s="102">
        <v>0.65820000000000001</v>
      </c>
      <c r="F5" s="110">
        <v>1.1900000000000001E-2</v>
      </c>
      <c r="G5" s="23">
        <v>22.8</v>
      </c>
      <c r="H5" s="91">
        <v>3.71</v>
      </c>
      <c r="I5" s="112">
        <v>0.67190000000000005</v>
      </c>
      <c r="J5" s="115">
        <v>3.6499999999999998E-2</v>
      </c>
      <c r="K5" s="39">
        <v>14.4</v>
      </c>
      <c r="L5" s="91">
        <v>0.4899</v>
      </c>
      <c r="M5" s="118">
        <v>0.70909999999999995</v>
      </c>
      <c r="N5" s="115">
        <v>9.4999999999999998E-3</v>
      </c>
    </row>
    <row r="6" spans="1:14" x14ac:dyDescent="0.35">
      <c r="A6" s="14">
        <v>26</v>
      </c>
      <c r="B6" s="22" t="s">
        <v>7</v>
      </c>
      <c r="C6" s="72">
        <v>37.799999999999997</v>
      </c>
      <c r="D6" s="96">
        <v>3.9699</v>
      </c>
      <c r="E6" s="102">
        <v>0.67549999999999999</v>
      </c>
      <c r="F6" s="110">
        <v>8.3999999999999995E-3</v>
      </c>
      <c r="G6" s="23">
        <v>24.6</v>
      </c>
      <c r="H6" s="91">
        <v>1.36</v>
      </c>
      <c r="I6" s="112">
        <v>0.74516000000000004</v>
      </c>
      <c r="J6" s="115">
        <v>9.7000000000000003E-3</v>
      </c>
      <c r="K6" s="42">
        <v>16.2</v>
      </c>
      <c r="L6" s="91">
        <v>0.4</v>
      </c>
      <c r="M6" s="118">
        <v>0.74539999999999995</v>
      </c>
      <c r="N6" s="115">
        <v>9.9000000000000008E-3</v>
      </c>
    </row>
    <row r="7" spans="1:14" x14ac:dyDescent="0.35">
      <c r="A7" s="14">
        <v>40</v>
      </c>
      <c r="B7" s="22" t="s">
        <v>27</v>
      </c>
      <c r="C7" s="72">
        <v>37.200000000000003</v>
      </c>
      <c r="D7" s="96">
        <v>2.7856999999999998</v>
      </c>
      <c r="E7" s="102">
        <v>0.74770000000000003</v>
      </c>
      <c r="F7" s="110">
        <v>1.04E-2</v>
      </c>
      <c r="G7" s="23">
        <v>25.8</v>
      </c>
      <c r="H7" s="91">
        <v>2.79</v>
      </c>
      <c r="I7" s="112">
        <v>0.79893999999999998</v>
      </c>
      <c r="J7" s="115">
        <v>1.3899999999999999E-2</v>
      </c>
      <c r="K7" s="39">
        <v>17</v>
      </c>
      <c r="L7" s="91">
        <v>1.0953999999999999</v>
      </c>
      <c r="M7" s="118">
        <v>0.80159999999999998</v>
      </c>
      <c r="N7" s="115">
        <v>1.3100000000000001E-2</v>
      </c>
    </row>
    <row r="8" spans="1:14" x14ac:dyDescent="0.35">
      <c r="A8" s="14">
        <v>16</v>
      </c>
      <c r="B8" s="22" t="s">
        <v>8</v>
      </c>
      <c r="C8" s="72">
        <v>28.8</v>
      </c>
      <c r="D8" s="96">
        <v>3.6551</v>
      </c>
      <c r="E8" s="102">
        <v>0.68810000000000004</v>
      </c>
      <c r="F8" s="110">
        <v>1.06E-2</v>
      </c>
      <c r="G8" s="23">
        <v>22.8</v>
      </c>
      <c r="H8" s="91">
        <v>1.94</v>
      </c>
      <c r="I8" s="113">
        <v>0.73065999999999998</v>
      </c>
      <c r="J8" s="115">
        <v>2.5100000000000001E-2</v>
      </c>
      <c r="K8" s="39">
        <v>14.2</v>
      </c>
      <c r="L8" s="91">
        <v>0.4</v>
      </c>
      <c r="M8" s="119">
        <v>0.72519999999999996</v>
      </c>
      <c r="N8" s="115">
        <v>1.49E-2</v>
      </c>
    </row>
    <row r="9" spans="1:14" x14ac:dyDescent="0.35">
      <c r="A9" s="14">
        <v>15</v>
      </c>
      <c r="B9" s="22" t="s">
        <v>9</v>
      </c>
      <c r="C9" s="72">
        <v>25.8</v>
      </c>
      <c r="D9" s="96">
        <v>3.3106</v>
      </c>
      <c r="E9" s="102">
        <v>0.66520000000000001</v>
      </c>
      <c r="F9" s="110">
        <v>1.7399999999999999E-2</v>
      </c>
      <c r="G9" s="23">
        <v>23.8</v>
      </c>
      <c r="H9" s="91">
        <v>3.97</v>
      </c>
      <c r="I9" s="113">
        <v>0.72470000000000001</v>
      </c>
      <c r="J9" s="115">
        <v>3.4599999999999999E-2</v>
      </c>
      <c r="K9" s="42">
        <v>14.2</v>
      </c>
      <c r="L9" s="91">
        <v>0.74829999999999997</v>
      </c>
      <c r="M9" s="119">
        <v>0.72089999999999999</v>
      </c>
      <c r="N9" s="115">
        <v>6.1000000000000004E-3</v>
      </c>
    </row>
    <row r="10" spans="1:14" x14ac:dyDescent="0.35">
      <c r="A10" s="14">
        <v>23</v>
      </c>
      <c r="B10" s="22" t="s">
        <v>28</v>
      </c>
      <c r="C10" s="72">
        <v>41.2</v>
      </c>
      <c r="D10" s="96">
        <v>5.7411000000000003</v>
      </c>
      <c r="E10" s="102">
        <v>0.64559999999999995</v>
      </c>
      <c r="F10" s="110">
        <v>1.34E-2</v>
      </c>
      <c r="G10" s="23">
        <v>23</v>
      </c>
      <c r="H10" s="91">
        <v>1.26</v>
      </c>
      <c r="I10" s="113">
        <v>0.74939999999999996</v>
      </c>
      <c r="J10" s="115">
        <v>2.1100000000000001E-2</v>
      </c>
      <c r="K10" s="42">
        <v>17.600000000000001</v>
      </c>
      <c r="L10" s="91">
        <v>0.8</v>
      </c>
      <c r="M10" s="119">
        <v>0.72109999999999996</v>
      </c>
      <c r="N10" s="115">
        <v>1.72E-2</v>
      </c>
    </row>
    <row r="11" spans="1:14" x14ac:dyDescent="0.35">
      <c r="A11" s="14">
        <v>6</v>
      </c>
      <c r="B11" s="22" t="s">
        <v>10</v>
      </c>
      <c r="C11" s="72">
        <v>26.8</v>
      </c>
      <c r="D11" s="96">
        <v>2.7856999999999998</v>
      </c>
      <c r="E11" s="102">
        <v>0.65439999999999998</v>
      </c>
      <c r="F11" s="110">
        <v>5.1000000000000004E-3</v>
      </c>
      <c r="G11" s="23">
        <v>23</v>
      </c>
      <c r="H11" s="91">
        <v>1.9</v>
      </c>
      <c r="I11" s="113">
        <v>0.70786000000000004</v>
      </c>
      <c r="J11" s="115">
        <v>2.7799999999999998E-2</v>
      </c>
      <c r="K11" s="39">
        <v>14.4</v>
      </c>
      <c r="L11" s="91">
        <v>1.85</v>
      </c>
      <c r="M11" s="120">
        <v>0.68379999999999996</v>
      </c>
      <c r="N11" s="115">
        <v>2.3900000000000001E-2</v>
      </c>
    </row>
    <row r="12" spans="1:14" x14ac:dyDescent="0.35">
      <c r="A12" s="14">
        <v>9</v>
      </c>
      <c r="B12" s="22" t="s">
        <v>23</v>
      </c>
      <c r="C12" s="72">
        <v>47.6</v>
      </c>
      <c r="D12" s="96">
        <v>4.3174000000000001</v>
      </c>
      <c r="E12" s="102">
        <v>0.7268</v>
      </c>
      <c r="F12" s="110">
        <v>2.87E-2</v>
      </c>
      <c r="G12" s="23">
        <v>29.8</v>
      </c>
      <c r="H12" s="91">
        <v>9.39</v>
      </c>
      <c r="I12" s="113">
        <v>0.83265999999999996</v>
      </c>
      <c r="J12" s="115">
        <v>2.07E-2</v>
      </c>
      <c r="K12" s="39">
        <v>19.8</v>
      </c>
      <c r="L12" s="91">
        <v>2.04</v>
      </c>
      <c r="M12" s="120">
        <v>0.79879999999999995</v>
      </c>
      <c r="N12" s="115">
        <v>1.6400000000000001E-2</v>
      </c>
    </row>
    <row r="13" spans="1:14" x14ac:dyDescent="0.35">
      <c r="A13" s="14">
        <v>8</v>
      </c>
      <c r="B13" s="22" t="s">
        <v>29</v>
      </c>
      <c r="C13" s="72">
        <v>49.4</v>
      </c>
      <c r="D13" s="96">
        <v>1.2</v>
      </c>
      <c r="E13" s="102">
        <v>0.62549999999999994</v>
      </c>
      <c r="F13" s="110">
        <v>2.5000000000000001E-2</v>
      </c>
      <c r="G13" s="23">
        <v>24.2</v>
      </c>
      <c r="H13" s="91">
        <v>1.17</v>
      </c>
      <c r="I13" s="113">
        <v>0.75129999999999997</v>
      </c>
      <c r="J13" s="115">
        <v>1.26E-2</v>
      </c>
      <c r="K13" s="39">
        <v>19</v>
      </c>
      <c r="L13" s="91">
        <v>1.55</v>
      </c>
      <c r="M13" s="120">
        <v>0.72609999999999997</v>
      </c>
      <c r="N13" s="115">
        <v>1.3100000000000001E-2</v>
      </c>
    </row>
    <row r="14" spans="1:14" x14ac:dyDescent="0.35">
      <c r="A14" s="14">
        <v>7</v>
      </c>
      <c r="B14" s="22" t="s">
        <v>11</v>
      </c>
      <c r="C14" s="72">
        <v>32.4</v>
      </c>
      <c r="D14" s="96">
        <v>3.3226</v>
      </c>
      <c r="E14" s="102">
        <v>0.64539999999999997</v>
      </c>
      <c r="F14" s="110">
        <v>1.52E-2</v>
      </c>
      <c r="G14" s="23">
        <v>26.2</v>
      </c>
      <c r="H14" s="91">
        <v>2.99</v>
      </c>
      <c r="I14" s="113">
        <v>0.72728000000000004</v>
      </c>
      <c r="J14" s="115">
        <v>1.4E-2</v>
      </c>
      <c r="K14" s="42">
        <v>19.8</v>
      </c>
      <c r="L14" s="91">
        <v>1.47</v>
      </c>
      <c r="M14" s="120">
        <v>0.71699999999999997</v>
      </c>
      <c r="N14" s="115">
        <v>8.3000000000000001E-3</v>
      </c>
    </row>
    <row r="15" spans="1:14" x14ac:dyDescent="0.35">
      <c r="A15" s="14">
        <v>14</v>
      </c>
      <c r="B15" s="22" t="s">
        <v>25</v>
      </c>
      <c r="C15" s="72">
        <v>44.8</v>
      </c>
      <c r="D15" s="96">
        <v>3.9699</v>
      </c>
      <c r="E15" s="102">
        <v>0.72850000000000004</v>
      </c>
      <c r="F15" s="110">
        <v>3.3999999999999998E-3</v>
      </c>
      <c r="G15" s="23">
        <v>25</v>
      </c>
      <c r="H15" s="91">
        <v>2.76</v>
      </c>
      <c r="I15" s="113">
        <v>0.82325999999999999</v>
      </c>
      <c r="J15" s="115">
        <v>5.4999999999999997E-3</v>
      </c>
      <c r="K15" s="39">
        <v>19</v>
      </c>
      <c r="L15" s="91">
        <v>1.79</v>
      </c>
      <c r="M15" s="120">
        <v>0.79420000000000002</v>
      </c>
      <c r="N15" s="115">
        <v>1.21E-2</v>
      </c>
    </row>
    <row r="16" spans="1:14" x14ac:dyDescent="0.35">
      <c r="A16" s="14">
        <v>13</v>
      </c>
      <c r="B16" s="22" t="s">
        <v>24</v>
      </c>
      <c r="C16" s="72">
        <v>47.4</v>
      </c>
      <c r="D16" s="96">
        <v>3.0724999999999998</v>
      </c>
      <c r="E16" s="102">
        <v>0.74480000000000002</v>
      </c>
      <c r="F16" s="110">
        <v>1.5699999999999999E-2</v>
      </c>
      <c r="G16" s="23">
        <v>24</v>
      </c>
      <c r="H16" s="91">
        <v>1.41</v>
      </c>
      <c r="I16" s="113">
        <v>0.84392</v>
      </c>
      <c r="J16" s="115">
        <v>1.8499999999999999E-2</v>
      </c>
      <c r="K16" s="39">
        <v>20</v>
      </c>
      <c r="L16" s="91">
        <v>1.55</v>
      </c>
      <c r="M16" s="120">
        <v>0.81769999999999998</v>
      </c>
      <c r="N16" s="115">
        <v>1.4999999999999999E-2</v>
      </c>
    </row>
    <row r="17" spans="1:14" x14ac:dyDescent="0.35">
      <c r="A17" s="14">
        <v>69</v>
      </c>
      <c r="B17" s="22" t="s">
        <v>17</v>
      </c>
      <c r="C17" s="72">
        <v>36.6</v>
      </c>
      <c r="D17" s="96">
        <v>3.8262</v>
      </c>
      <c r="E17" s="102">
        <v>0.68810000000000004</v>
      </c>
      <c r="F17" s="110">
        <v>1.3299999999999999E-2</v>
      </c>
      <c r="G17" s="23">
        <v>24.6</v>
      </c>
      <c r="H17" s="91">
        <v>2.87</v>
      </c>
      <c r="I17" s="113">
        <v>0.78586</v>
      </c>
      <c r="J17" s="115">
        <v>7.9000000000000008E-3</v>
      </c>
      <c r="K17" s="39">
        <v>20.399999999999999</v>
      </c>
      <c r="L17" s="91">
        <v>2.8</v>
      </c>
      <c r="M17" s="120">
        <v>0.76249999999999996</v>
      </c>
      <c r="N17" s="115">
        <v>5.8999999999999999E-3</v>
      </c>
    </row>
    <row r="18" spans="1:14" x14ac:dyDescent="0.35">
      <c r="A18" s="14">
        <v>81</v>
      </c>
      <c r="B18" s="22" t="s">
        <v>12</v>
      </c>
      <c r="C18" s="72">
        <v>37</v>
      </c>
      <c r="D18" s="96">
        <v>2.8283999999999998</v>
      </c>
      <c r="E18" s="102">
        <v>0.56779999999999997</v>
      </c>
      <c r="F18" s="110">
        <v>1.0200000000000001E-2</v>
      </c>
      <c r="G18" s="23">
        <v>23.2</v>
      </c>
      <c r="H18" s="91">
        <v>0.98</v>
      </c>
      <c r="I18" s="113">
        <v>0.70731999999999995</v>
      </c>
      <c r="J18" s="115">
        <v>1.47E-2</v>
      </c>
      <c r="K18" s="39">
        <v>18</v>
      </c>
      <c r="L18" s="91">
        <v>1.41</v>
      </c>
      <c r="M18" s="120">
        <v>0.67669999999999997</v>
      </c>
      <c r="N18" s="115">
        <v>4.0000000000000001E-3</v>
      </c>
    </row>
    <row r="19" spans="1:14" x14ac:dyDescent="0.35">
      <c r="A19" s="14">
        <v>82</v>
      </c>
      <c r="B19" s="22" t="s">
        <v>19</v>
      </c>
      <c r="C19" s="72">
        <v>48.4</v>
      </c>
      <c r="D19" s="96">
        <v>3.2</v>
      </c>
      <c r="E19" s="102">
        <v>0.72850000000000004</v>
      </c>
      <c r="F19" s="110">
        <v>2.5499999999999998E-2</v>
      </c>
      <c r="G19" s="23">
        <v>23.2</v>
      </c>
      <c r="H19" s="91">
        <v>1.47</v>
      </c>
      <c r="I19" s="113">
        <v>0.83365999999999996</v>
      </c>
      <c r="J19" s="115">
        <v>8.9999999999999993E-3</v>
      </c>
      <c r="K19" s="69">
        <v>19.2</v>
      </c>
      <c r="L19" s="91">
        <v>2.04</v>
      </c>
      <c r="M19" s="120">
        <v>0.81020000000000003</v>
      </c>
      <c r="N19" s="115">
        <v>5.8999999999999999E-3</v>
      </c>
    </row>
    <row r="20" spans="1:14" x14ac:dyDescent="0.35">
      <c r="A20" s="14">
        <v>132</v>
      </c>
      <c r="B20" s="22" t="s">
        <v>26</v>
      </c>
      <c r="C20" s="72">
        <v>49.6</v>
      </c>
      <c r="D20" s="96">
        <v>0.8</v>
      </c>
      <c r="E20" s="102">
        <v>0.5806</v>
      </c>
      <c r="F20" s="110">
        <v>3.6299999999999999E-2</v>
      </c>
      <c r="G20" s="23">
        <v>29</v>
      </c>
      <c r="H20" s="91">
        <v>4.5999999999999996</v>
      </c>
      <c r="I20" s="112">
        <v>0.72643999999999997</v>
      </c>
      <c r="J20" s="115">
        <v>4.7300000000000002E-2</v>
      </c>
      <c r="K20" s="69">
        <v>22.4</v>
      </c>
      <c r="L20" s="91">
        <v>3.38</v>
      </c>
      <c r="M20" s="118">
        <v>0.75739999999999996</v>
      </c>
      <c r="N20" s="115">
        <v>4.6600000000000003E-2</v>
      </c>
    </row>
    <row r="21" spans="1:14" x14ac:dyDescent="0.35">
      <c r="A21" s="14">
        <v>141</v>
      </c>
      <c r="B21" s="22" t="s">
        <v>13</v>
      </c>
      <c r="C21" s="72">
        <v>32.4</v>
      </c>
      <c r="D21" s="96">
        <v>2.6533000000000002</v>
      </c>
      <c r="E21" s="102">
        <v>0.52290000000000003</v>
      </c>
      <c r="F21" s="110">
        <v>1.52E-2</v>
      </c>
      <c r="G21" s="23">
        <v>22.6</v>
      </c>
      <c r="H21" s="91">
        <v>1.85</v>
      </c>
      <c r="I21" s="113">
        <v>0.61514000000000002</v>
      </c>
      <c r="J21" s="115">
        <v>4.1000000000000003E-3</v>
      </c>
      <c r="K21" s="69">
        <v>17.600000000000001</v>
      </c>
      <c r="L21" s="91">
        <v>3.01</v>
      </c>
      <c r="M21" s="120">
        <v>0.57399999999999995</v>
      </c>
      <c r="N21" s="115">
        <v>1.8599999999999998E-2</v>
      </c>
    </row>
    <row r="22" spans="1:14" x14ac:dyDescent="0.35">
      <c r="A22" s="14">
        <v>142</v>
      </c>
      <c r="B22" s="22" t="s">
        <v>20</v>
      </c>
      <c r="C22" s="72">
        <v>46.4</v>
      </c>
      <c r="D22" s="96">
        <v>3.2</v>
      </c>
      <c r="E22" s="102">
        <v>0.5423</v>
      </c>
      <c r="F22" s="110">
        <v>2.9700000000000001E-2</v>
      </c>
      <c r="G22" s="23">
        <v>20.2</v>
      </c>
      <c r="H22" s="91">
        <v>1.33</v>
      </c>
      <c r="I22" s="113">
        <v>0.64581999999999995</v>
      </c>
      <c r="J22" s="115">
        <v>1.0800000000000001E-2</v>
      </c>
      <c r="K22" s="39">
        <v>17</v>
      </c>
      <c r="L22" s="91">
        <v>0.89</v>
      </c>
      <c r="M22" s="120">
        <v>0.63790000000000002</v>
      </c>
      <c r="N22" s="115">
        <v>1.15E-2</v>
      </c>
    </row>
    <row r="23" spans="1:14" x14ac:dyDescent="0.35">
      <c r="A23" s="14">
        <v>203</v>
      </c>
      <c r="B23" s="22" t="s">
        <v>18</v>
      </c>
      <c r="C23" s="72">
        <v>49</v>
      </c>
      <c r="D23" s="96">
        <v>1.5491999999999999</v>
      </c>
      <c r="E23" s="102">
        <v>0.66469999999999996</v>
      </c>
      <c r="F23" s="110">
        <v>2.0500000000000001E-2</v>
      </c>
      <c r="G23" s="23">
        <v>25</v>
      </c>
      <c r="H23" s="91">
        <v>5.0999999999999996</v>
      </c>
      <c r="I23" s="113">
        <v>0.80012000000000005</v>
      </c>
      <c r="J23" s="115">
        <v>1.7600000000000001E-2</v>
      </c>
      <c r="K23" s="39">
        <v>21.2</v>
      </c>
      <c r="L23" s="91">
        <v>4.79</v>
      </c>
      <c r="M23" s="120">
        <v>0.78690000000000004</v>
      </c>
      <c r="N23" s="115">
        <v>1.9300000000000001E-2</v>
      </c>
    </row>
    <row r="24" spans="1:14" x14ac:dyDescent="0.35">
      <c r="A24" s="14">
        <v>289</v>
      </c>
      <c r="B24" s="22" t="s">
        <v>62</v>
      </c>
      <c r="C24" s="72">
        <v>27.2</v>
      </c>
      <c r="D24" s="96">
        <v>12.607900000000001</v>
      </c>
      <c r="E24" s="102">
        <v>0.24640000000000001</v>
      </c>
      <c r="F24" s="110">
        <v>0.10970000000000001</v>
      </c>
      <c r="G24" s="42">
        <v>23.6</v>
      </c>
      <c r="H24" s="92">
        <v>16.14</v>
      </c>
      <c r="I24" s="112">
        <v>0.60711999999999999</v>
      </c>
      <c r="J24" s="116">
        <v>0.21640000000000001</v>
      </c>
      <c r="K24" s="27">
        <v>50</v>
      </c>
      <c r="L24" s="92">
        <v>0</v>
      </c>
      <c r="M24" s="118">
        <v>0.84289999999999998</v>
      </c>
      <c r="N24" s="116">
        <v>0.12130000000000001</v>
      </c>
    </row>
    <row r="25" spans="1:14" x14ac:dyDescent="0.35">
      <c r="A25" s="14">
        <v>288</v>
      </c>
      <c r="B25" s="22" t="s">
        <v>14</v>
      </c>
      <c r="C25" s="72">
        <v>44.8</v>
      </c>
      <c r="D25" s="96">
        <v>5.1923000000000004</v>
      </c>
      <c r="E25" s="102">
        <v>0.49590000000000001</v>
      </c>
      <c r="F25" s="110">
        <v>2.3300000000000001E-2</v>
      </c>
      <c r="G25" s="23">
        <v>23</v>
      </c>
      <c r="H25" s="91">
        <v>3.58</v>
      </c>
      <c r="I25" s="113">
        <v>0.65802000000000005</v>
      </c>
      <c r="J25" s="115">
        <v>1.83E-2</v>
      </c>
      <c r="K25" s="39">
        <v>17.2</v>
      </c>
      <c r="L25" s="91">
        <v>0.98</v>
      </c>
      <c r="M25" s="120">
        <v>0.64470000000000005</v>
      </c>
      <c r="N25" s="115">
        <v>1.0999999999999999E-2</v>
      </c>
    </row>
    <row r="26" spans="1:14" x14ac:dyDescent="0.35">
      <c r="A26" s="77"/>
      <c r="B26" s="74" t="s">
        <v>22</v>
      </c>
      <c r="C26" s="75">
        <f t="shared" ref="C26:M26" si="0">AVERAGE(C4:C25)</f>
        <v>39.136363636363633</v>
      </c>
      <c r="D26" s="93">
        <f t="shared" si="0"/>
        <v>3.708263636363637</v>
      </c>
      <c r="E26" s="109">
        <f t="shared" si="0"/>
        <v>0.63876818181818185</v>
      </c>
      <c r="F26" s="111">
        <f t="shared" si="0"/>
        <v>2.1268181818181818E-2</v>
      </c>
      <c r="G26" s="75">
        <f t="shared" si="0"/>
        <v>24.181818181818183</v>
      </c>
      <c r="H26" s="134">
        <f>AVERAGE(H4:H25)</f>
        <v>3.3449999999999993</v>
      </c>
      <c r="I26" s="114">
        <f t="shared" si="0"/>
        <v>0.74456545454545453</v>
      </c>
      <c r="J26" s="117">
        <f>AVERAGE(J4:J25)</f>
        <v>2.7190909090909089E-2</v>
      </c>
      <c r="K26" s="76">
        <f t="shared" si="0"/>
        <v>19.563636363636366</v>
      </c>
      <c r="L26" s="93">
        <f>AVERAGE(L4:L25)</f>
        <v>1.5819818181818179</v>
      </c>
      <c r="M26" s="109">
        <f t="shared" si="0"/>
        <v>0.74323636363636358</v>
      </c>
      <c r="N26" s="121">
        <f>AVERAGE(N4:N25)</f>
        <v>1.8722727272727273E-2</v>
      </c>
    </row>
    <row r="28" spans="1:14" x14ac:dyDescent="0.35">
      <c r="B28" s="68" t="s">
        <v>56</v>
      </c>
      <c r="C28" s="147" t="s">
        <v>75</v>
      </c>
      <c r="D28" s="147"/>
      <c r="E28" s="147"/>
      <c r="F28" s="147"/>
      <c r="G28" s="147"/>
      <c r="H28" s="147"/>
      <c r="I28" s="147"/>
      <c r="J28" s="147"/>
      <c r="K28" s="141"/>
      <c r="L28" s="141"/>
      <c r="M28" s="141"/>
    </row>
    <row r="29" spans="1:14" x14ac:dyDescent="0.35">
      <c r="B29" s="50" t="s">
        <v>57</v>
      </c>
      <c r="C29" s="144" t="s">
        <v>61</v>
      </c>
      <c r="D29" s="145"/>
      <c r="E29" s="145"/>
      <c r="F29" s="146"/>
      <c r="G29" s="144" t="s">
        <v>58</v>
      </c>
      <c r="H29" s="145"/>
      <c r="I29" s="145"/>
      <c r="J29" s="146"/>
      <c r="K29" s="144" t="s">
        <v>59</v>
      </c>
      <c r="L29" s="145"/>
      <c r="M29" s="145"/>
      <c r="N29" s="145"/>
    </row>
    <row r="30" spans="1:14" x14ac:dyDescent="0.35">
      <c r="B30" s="16" t="s">
        <v>0</v>
      </c>
      <c r="C30" s="149" t="s">
        <v>52</v>
      </c>
      <c r="D30" s="150"/>
      <c r="E30" s="147" t="s">
        <v>53</v>
      </c>
      <c r="F30" s="151"/>
      <c r="G30" s="149" t="s">
        <v>52</v>
      </c>
      <c r="H30" s="150"/>
      <c r="I30" s="147" t="s">
        <v>53</v>
      </c>
      <c r="J30" s="151"/>
      <c r="K30" s="149" t="s">
        <v>52</v>
      </c>
      <c r="L30" s="150"/>
      <c r="M30" s="143" t="s">
        <v>53</v>
      </c>
      <c r="N30" s="143"/>
    </row>
    <row r="31" spans="1:14" x14ac:dyDescent="0.35">
      <c r="B31" s="22" t="s">
        <v>5</v>
      </c>
      <c r="C31" s="72">
        <v>44.6</v>
      </c>
      <c r="D31" s="96">
        <v>3.2</v>
      </c>
      <c r="E31" s="102">
        <v>0.80820000000000003</v>
      </c>
      <c r="F31" s="110">
        <v>2.1700000000000001E-2</v>
      </c>
      <c r="G31" s="86">
        <v>23.6</v>
      </c>
      <c r="H31" s="96">
        <v>1.4966999999999999</v>
      </c>
      <c r="I31" s="102">
        <v>0.89059999999999995</v>
      </c>
      <c r="J31" s="110">
        <v>5.3E-3</v>
      </c>
      <c r="K31" s="131">
        <v>17.600000000000001</v>
      </c>
      <c r="L31" s="96">
        <v>0.8</v>
      </c>
      <c r="M31" s="104">
        <v>0.89990000000000003</v>
      </c>
      <c r="N31" s="110">
        <v>9.7999999999999997E-3</v>
      </c>
    </row>
    <row r="32" spans="1:14" x14ac:dyDescent="0.35">
      <c r="B32" s="22" t="s">
        <v>6</v>
      </c>
      <c r="C32" s="72">
        <v>25.4</v>
      </c>
      <c r="D32" s="96">
        <v>1.2</v>
      </c>
      <c r="E32" s="102">
        <v>0.65459999999999996</v>
      </c>
      <c r="F32" s="110">
        <v>8.5000000000000006E-3</v>
      </c>
      <c r="G32" s="72">
        <v>23</v>
      </c>
      <c r="H32" s="96">
        <v>3.9497</v>
      </c>
      <c r="I32" s="102">
        <v>0.70040000000000002</v>
      </c>
      <c r="J32" s="110">
        <v>1.9099999999999999E-2</v>
      </c>
      <c r="K32" s="71">
        <v>20.8</v>
      </c>
      <c r="L32" s="96">
        <v>2.4819</v>
      </c>
      <c r="M32" s="104">
        <v>0.7077</v>
      </c>
      <c r="N32" s="110">
        <v>3.1399999999999997E-2</v>
      </c>
    </row>
    <row r="33" spans="2:15" x14ac:dyDescent="0.35">
      <c r="B33" s="22" t="s">
        <v>7</v>
      </c>
      <c r="C33" s="72">
        <v>38.200000000000003</v>
      </c>
      <c r="D33" s="96">
        <v>2.9933000000000001</v>
      </c>
      <c r="E33" s="102">
        <v>0.67110000000000003</v>
      </c>
      <c r="F33" s="110">
        <v>1.32E-2</v>
      </c>
      <c r="G33" s="72">
        <v>24</v>
      </c>
      <c r="H33" s="96">
        <v>1.5491999999999999</v>
      </c>
      <c r="I33" s="102">
        <v>0.73740000000000006</v>
      </c>
      <c r="J33" s="110">
        <v>1.14E-2</v>
      </c>
      <c r="K33" s="71">
        <v>20</v>
      </c>
      <c r="L33" s="96">
        <v>0.89439999999999997</v>
      </c>
      <c r="M33" s="104">
        <v>0.74139999999999995</v>
      </c>
      <c r="N33" s="110">
        <v>0.01</v>
      </c>
    </row>
    <row r="34" spans="2:15" x14ac:dyDescent="0.35">
      <c r="B34" s="22" t="s">
        <v>27</v>
      </c>
      <c r="C34" s="72">
        <v>38.200000000000003</v>
      </c>
      <c r="D34" s="96">
        <v>5.0754000000000001</v>
      </c>
      <c r="E34" s="102">
        <v>0.749</v>
      </c>
      <c r="F34" s="110">
        <v>6.7999999999999996E-3</v>
      </c>
      <c r="G34" s="72">
        <v>23.6</v>
      </c>
      <c r="H34" s="96">
        <v>2.0590999999999999</v>
      </c>
      <c r="I34" s="102">
        <v>0.80189999999999995</v>
      </c>
      <c r="J34" s="110">
        <v>7.0000000000000001E-3</v>
      </c>
      <c r="K34" s="71">
        <v>18.399999999999999</v>
      </c>
      <c r="L34" s="96">
        <v>1.3565</v>
      </c>
      <c r="M34" s="104">
        <v>0.80520000000000003</v>
      </c>
      <c r="N34" s="110">
        <v>1.5900000000000001E-2</v>
      </c>
    </row>
    <row r="35" spans="2:15" x14ac:dyDescent="0.35">
      <c r="B35" s="22" t="s">
        <v>8</v>
      </c>
      <c r="C35" s="72">
        <v>29.2</v>
      </c>
      <c r="D35" s="96">
        <v>2.9257</v>
      </c>
      <c r="E35" s="102">
        <v>0.67400000000000004</v>
      </c>
      <c r="F35" s="110">
        <v>1.7399999999999999E-2</v>
      </c>
      <c r="G35" s="72">
        <v>24</v>
      </c>
      <c r="H35" s="96">
        <v>3.0331999999999999</v>
      </c>
      <c r="I35" s="104">
        <v>0.73440000000000005</v>
      </c>
      <c r="J35" s="110">
        <v>2.53E-2</v>
      </c>
      <c r="K35" s="71">
        <v>21.4</v>
      </c>
      <c r="L35" s="96">
        <v>4.1280000000000001</v>
      </c>
      <c r="M35" s="102">
        <v>0.71479999999999999</v>
      </c>
      <c r="N35" s="110">
        <v>4.19E-2</v>
      </c>
    </row>
    <row r="36" spans="2:15" x14ac:dyDescent="0.35">
      <c r="B36" s="22" t="s">
        <v>9</v>
      </c>
      <c r="C36" s="72">
        <v>26.8</v>
      </c>
      <c r="D36" s="96">
        <v>2.1354000000000002</v>
      </c>
      <c r="E36" s="102">
        <v>0.66479999999999995</v>
      </c>
      <c r="F36" s="110">
        <v>1.03E-2</v>
      </c>
      <c r="G36" s="72">
        <v>25.8</v>
      </c>
      <c r="H36" s="96">
        <v>0.74829999999999997</v>
      </c>
      <c r="I36" s="104">
        <v>0.74509999999999998</v>
      </c>
      <c r="J36" s="110">
        <v>8.0000000000000002E-3</v>
      </c>
      <c r="K36" s="71">
        <v>22</v>
      </c>
      <c r="L36" s="96">
        <v>2.8982999999999999</v>
      </c>
      <c r="M36" s="102">
        <v>0.73319999999999996</v>
      </c>
      <c r="N36" s="110">
        <v>2.3599999999999999E-2</v>
      </c>
    </row>
    <row r="37" spans="2:15" x14ac:dyDescent="0.35">
      <c r="B37" s="22" t="s">
        <v>28</v>
      </c>
      <c r="C37" s="72">
        <v>37.799999999999997</v>
      </c>
      <c r="D37" s="96">
        <v>3.9192</v>
      </c>
      <c r="E37" s="102">
        <v>0.65169999999999995</v>
      </c>
      <c r="F37" s="110">
        <v>2.4199999999999999E-2</v>
      </c>
      <c r="G37" s="72">
        <v>22.4</v>
      </c>
      <c r="H37" s="96">
        <v>1.4966999999999999</v>
      </c>
      <c r="I37" s="102">
        <v>0.751</v>
      </c>
      <c r="J37" s="110">
        <v>1.35E-2</v>
      </c>
      <c r="K37" s="71">
        <v>19.2</v>
      </c>
      <c r="L37" s="96">
        <v>1.3266</v>
      </c>
      <c r="M37" s="104">
        <v>0.83140000000000003</v>
      </c>
      <c r="N37" s="110">
        <v>1.15E-2</v>
      </c>
    </row>
    <row r="38" spans="2:15" x14ac:dyDescent="0.35">
      <c r="B38" s="22" t="s">
        <v>10</v>
      </c>
      <c r="C38" s="72">
        <v>25.4</v>
      </c>
      <c r="D38" s="96">
        <v>1.7436</v>
      </c>
      <c r="E38" s="102">
        <v>0.63519999999999999</v>
      </c>
      <c r="F38" s="110">
        <v>2.3599999999999999E-2</v>
      </c>
      <c r="G38" s="71">
        <v>22.6</v>
      </c>
      <c r="H38" s="96">
        <v>3.0066999999999999</v>
      </c>
      <c r="I38" s="102">
        <v>0.71189999999999998</v>
      </c>
      <c r="J38" s="110">
        <v>2.7799999999999998E-2</v>
      </c>
      <c r="K38" s="72">
        <v>23</v>
      </c>
      <c r="L38" s="96">
        <v>3.7947000000000002</v>
      </c>
      <c r="M38" s="104">
        <v>0.71589999999999998</v>
      </c>
      <c r="N38" s="110">
        <v>2.4400000000000002E-2</v>
      </c>
    </row>
    <row r="39" spans="2:15" x14ac:dyDescent="0.35">
      <c r="B39" s="22" t="s">
        <v>23</v>
      </c>
      <c r="C39" s="72">
        <v>46</v>
      </c>
      <c r="D39" s="96">
        <v>3.6332</v>
      </c>
      <c r="E39" s="102">
        <v>0.73929999999999996</v>
      </c>
      <c r="F39" s="110">
        <v>3.3500000000000002E-2</v>
      </c>
      <c r="G39" s="72">
        <v>26.2</v>
      </c>
      <c r="H39" s="96">
        <v>2.9933000000000001</v>
      </c>
      <c r="I39" s="104">
        <v>0.8367</v>
      </c>
      <c r="J39" s="110">
        <v>1.17E-2</v>
      </c>
      <c r="K39" s="71">
        <v>19.2</v>
      </c>
      <c r="L39" s="96">
        <v>0.74829999999999997</v>
      </c>
      <c r="M39" s="102">
        <v>0.8337</v>
      </c>
      <c r="N39" s="110">
        <v>2.1100000000000001E-2</v>
      </c>
    </row>
    <row r="40" spans="2:15" x14ac:dyDescent="0.35">
      <c r="B40" s="22" t="s">
        <v>29</v>
      </c>
      <c r="C40" s="72">
        <v>48.8</v>
      </c>
      <c r="D40" s="96">
        <v>1.1661999999999999</v>
      </c>
      <c r="E40" s="102">
        <v>0.63349999999999995</v>
      </c>
      <c r="F40" s="110">
        <v>2.18E-2</v>
      </c>
      <c r="G40" s="72">
        <v>25</v>
      </c>
      <c r="H40" s="96">
        <v>2.8283999999999998</v>
      </c>
      <c r="I40" s="102">
        <v>0.75360000000000005</v>
      </c>
      <c r="J40" s="110">
        <v>1.9E-2</v>
      </c>
      <c r="K40" s="71">
        <v>20.399999999999999</v>
      </c>
      <c r="L40" s="96">
        <v>3.0066999999999999</v>
      </c>
      <c r="M40" s="104">
        <v>0.76060000000000005</v>
      </c>
      <c r="N40" s="110">
        <v>1.4E-2</v>
      </c>
    </row>
    <row r="41" spans="2:15" x14ac:dyDescent="0.35">
      <c r="B41" s="22" t="s">
        <v>11</v>
      </c>
      <c r="C41" s="72">
        <v>37.799999999999997</v>
      </c>
      <c r="D41" s="96">
        <v>5.4917999999999996</v>
      </c>
      <c r="E41" s="102">
        <v>0.62</v>
      </c>
      <c r="F41" s="110">
        <v>2.2200000000000001E-2</v>
      </c>
      <c r="G41" s="72">
        <v>25.2</v>
      </c>
      <c r="H41" s="96">
        <v>3.1875</v>
      </c>
      <c r="I41" s="104">
        <v>0.74109999999999998</v>
      </c>
      <c r="J41" s="110">
        <v>3.8999999999999998E-3</v>
      </c>
      <c r="K41" s="71">
        <v>22</v>
      </c>
      <c r="L41" s="96">
        <v>2</v>
      </c>
      <c r="M41" s="102">
        <v>0.73129999999999995</v>
      </c>
      <c r="N41" s="110">
        <v>4.7000000000000002E-3</v>
      </c>
    </row>
    <row r="42" spans="2:15" x14ac:dyDescent="0.35">
      <c r="B42" s="22" t="s">
        <v>25</v>
      </c>
      <c r="C42" s="72">
        <v>50</v>
      </c>
      <c r="D42" s="96">
        <v>0</v>
      </c>
      <c r="E42" s="102">
        <v>0.71709999999999996</v>
      </c>
      <c r="F42" s="110">
        <v>1.2200000000000001E-2</v>
      </c>
      <c r="G42" s="72">
        <v>23.6</v>
      </c>
      <c r="H42" s="96">
        <v>1.4966999999999999</v>
      </c>
      <c r="I42" s="104">
        <v>0.82879999999999998</v>
      </c>
      <c r="J42" s="110">
        <v>1.14E-2</v>
      </c>
      <c r="K42" s="71">
        <v>22.8</v>
      </c>
      <c r="L42" s="96">
        <v>2.3151999999999999</v>
      </c>
      <c r="M42" s="102">
        <v>0.82520000000000004</v>
      </c>
      <c r="N42" s="110">
        <v>1.1299999999999999E-2</v>
      </c>
    </row>
    <row r="43" spans="2:15" x14ac:dyDescent="0.35">
      <c r="B43" s="22" t="s">
        <v>24</v>
      </c>
      <c r="C43" s="72">
        <v>46.2</v>
      </c>
      <c r="D43" s="96">
        <v>4.0199999999999996</v>
      </c>
      <c r="E43" s="102">
        <v>0.74250000000000005</v>
      </c>
      <c r="F43" s="110">
        <v>1.0500000000000001E-2</v>
      </c>
      <c r="G43" s="72">
        <v>24</v>
      </c>
      <c r="H43" s="96">
        <v>1.4141999999999999</v>
      </c>
      <c r="I43" s="102">
        <v>0.84030000000000005</v>
      </c>
      <c r="J43" s="110">
        <v>1.38E-2</v>
      </c>
      <c r="K43" s="71">
        <v>22.4</v>
      </c>
      <c r="L43" s="96">
        <v>1.3565</v>
      </c>
      <c r="M43" s="104">
        <v>0.84060000000000001</v>
      </c>
      <c r="N43" s="110">
        <v>1.6199999999999999E-2</v>
      </c>
      <c r="O43" s="126"/>
    </row>
    <row r="44" spans="2:15" x14ac:dyDescent="0.35">
      <c r="B44" s="22" t="s">
        <v>17</v>
      </c>
      <c r="C44" s="72">
        <v>41.8</v>
      </c>
      <c r="D44" s="96">
        <v>5.2306999999999997</v>
      </c>
      <c r="E44" s="102">
        <v>0.68010000000000004</v>
      </c>
      <c r="F44" s="110">
        <v>1.03E-2</v>
      </c>
      <c r="G44" s="72">
        <v>23.6</v>
      </c>
      <c r="H44" s="96">
        <v>2.4165999999999999</v>
      </c>
      <c r="I44" s="104">
        <v>0.79430000000000001</v>
      </c>
      <c r="J44" s="110">
        <v>7.1999999999999998E-3</v>
      </c>
      <c r="K44" s="71">
        <v>21.6</v>
      </c>
      <c r="L44" s="96">
        <v>1.4966999999999999</v>
      </c>
      <c r="M44" s="102">
        <v>0.78710000000000002</v>
      </c>
      <c r="N44" s="110">
        <v>5.4000000000000003E-3</v>
      </c>
    </row>
    <row r="45" spans="2:15" x14ac:dyDescent="0.35">
      <c r="B45" s="22" t="s">
        <v>12</v>
      </c>
      <c r="C45" s="72">
        <v>36.799999999999997</v>
      </c>
      <c r="D45" s="96">
        <v>8.4946999999999999</v>
      </c>
      <c r="E45" s="102">
        <v>0.52080000000000004</v>
      </c>
      <c r="F45" s="110">
        <v>6.7699999999999996E-2</v>
      </c>
      <c r="G45" s="72">
        <v>23.8</v>
      </c>
      <c r="H45" s="96">
        <v>2.3151999999999999</v>
      </c>
      <c r="I45" s="102">
        <v>0.70930000000000004</v>
      </c>
      <c r="J45" s="110">
        <v>8.9999999999999993E-3</v>
      </c>
      <c r="K45" s="71">
        <v>21</v>
      </c>
      <c r="L45" s="96">
        <v>1.4141999999999999</v>
      </c>
      <c r="M45" s="104">
        <v>0.70960000000000001</v>
      </c>
      <c r="N45" s="110">
        <v>5.4000000000000003E-3</v>
      </c>
    </row>
    <row r="46" spans="2:15" x14ac:dyDescent="0.35">
      <c r="B46" s="22" t="s">
        <v>19</v>
      </c>
      <c r="C46" s="72">
        <v>46.6</v>
      </c>
      <c r="D46" s="96">
        <v>3.5552999999999999</v>
      </c>
      <c r="E46" s="102">
        <v>0.73960000000000004</v>
      </c>
      <c r="F46" s="110">
        <v>1.6E-2</v>
      </c>
      <c r="G46" s="72">
        <v>23.4</v>
      </c>
      <c r="H46" s="96">
        <v>2.0590999999999999</v>
      </c>
      <c r="I46" s="104">
        <v>0.83050000000000002</v>
      </c>
      <c r="J46" s="110">
        <v>7.9000000000000008E-3</v>
      </c>
      <c r="K46" s="71">
        <v>20.6</v>
      </c>
      <c r="L46" s="96">
        <v>1.3565</v>
      </c>
      <c r="M46" s="102">
        <v>0.82489999999999997</v>
      </c>
      <c r="N46" s="110">
        <v>7.1000000000000004E-3</v>
      </c>
    </row>
    <row r="47" spans="2:15" x14ac:dyDescent="0.35">
      <c r="B47" s="22" t="s">
        <v>26</v>
      </c>
      <c r="C47" s="72">
        <v>50</v>
      </c>
      <c r="D47" s="96">
        <v>0</v>
      </c>
      <c r="E47" s="102">
        <v>0.56389999999999996</v>
      </c>
      <c r="F47" s="110">
        <v>2.0199999999999999E-2</v>
      </c>
      <c r="G47" s="72">
        <v>25.6</v>
      </c>
      <c r="H47" s="96">
        <v>6.4062000000000001</v>
      </c>
      <c r="I47" s="104">
        <v>0.73029999999999995</v>
      </c>
      <c r="J47" s="110">
        <v>2.6599999999999999E-2</v>
      </c>
      <c r="K47" s="71">
        <v>20.6</v>
      </c>
      <c r="L47" s="96">
        <v>2.7275999999999998</v>
      </c>
      <c r="M47" s="102">
        <v>0.72899999999999998</v>
      </c>
      <c r="N47" s="110">
        <v>3.4599999999999999E-2</v>
      </c>
    </row>
    <row r="48" spans="2:15" x14ac:dyDescent="0.35">
      <c r="B48" s="22" t="s">
        <v>13</v>
      </c>
      <c r="C48" s="72">
        <v>26.6</v>
      </c>
      <c r="D48" s="96">
        <v>4.5869</v>
      </c>
      <c r="E48" s="102">
        <v>0.49180000000000001</v>
      </c>
      <c r="F48" s="110">
        <v>5.2999999999999999E-2</v>
      </c>
      <c r="G48" s="72">
        <v>24</v>
      </c>
      <c r="H48" s="96">
        <v>1.8974</v>
      </c>
      <c r="I48" s="104">
        <v>0.62190000000000001</v>
      </c>
      <c r="J48" s="110">
        <v>7.0000000000000001E-3</v>
      </c>
      <c r="K48" s="71">
        <v>22.4</v>
      </c>
      <c r="L48" s="96">
        <v>1.4966999999999999</v>
      </c>
      <c r="M48" s="102">
        <v>0.61629999999999996</v>
      </c>
      <c r="N48" s="110">
        <v>5.4999999999999997E-3</v>
      </c>
    </row>
    <row r="49" spans="2:14" x14ac:dyDescent="0.35">
      <c r="B49" s="22" t="s">
        <v>20</v>
      </c>
      <c r="C49" s="72">
        <v>43.6</v>
      </c>
      <c r="D49" s="96">
        <v>1.8547</v>
      </c>
      <c r="E49" s="102">
        <v>0.54279999999999995</v>
      </c>
      <c r="F49" s="110">
        <v>1.2699999999999999E-2</v>
      </c>
      <c r="G49" s="72">
        <v>21.4</v>
      </c>
      <c r="H49" s="96">
        <v>2.5768</v>
      </c>
      <c r="I49" s="102">
        <v>0.64959999999999996</v>
      </c>
      <c r="J49" s="110">
        <v>1.3299999999999999E-2</v>
      </c>
      <c r="K49" s="71">
        <v>20.2</v>
      </c>
      <c r="L49" s="96">
        <v>2.4</v>
      </c>
      <c r="M49" s="104">
        <v>0.66249999999999998</v>
      </c>
      <c r="N49" s="110">
        <v>1.41E-2</v>
      </c>
    </row>
    <row r="50" spans="2:14" x14ac:dyDescent="0.35">
      <c r="B50" s="22" t="s">
        <v>18</v>
      </c>
      <c r="C50" s="72">
        <v>49.2</v>
      </c>
      <c r="D50" s="96">
        <v>1.6</v>
      </c>
      <c r="E50" s="102">
        <v>0.6774</v>
      </c>
      <c r="F50" s="110">
        <v>2.4899999999999999E-2</v>
      </c>
      <c r="G50" s="72">
        <v>24.8</v>
      </c>
      <c r="H50" s="96">
        <v>4.2614999999999998</v>
      </c>
      <c r="I50" s="104">
        <v>0.79900000000000004</v>
      </c>
      <c r="J50" s="110">
        <v>1.55E-2</v>
      </c>
      <c r="K50" s="71">
        <v>24.2</v>
      </c>
      <c r="L50" s="96">
        <v>4.2614999999999998</v>
      </c>
      <c r="M50" s="102">
        <v>0.78979999999999995</v>
      </c>
      <c r="N50" s="110">
        <v>6.1000000000000004E-3</v>
      </c>
    </row>
    <row r="51" spans="2:14" x14ac:dyDescent="0.35">
      <c r="B51" s="22" t="s">
        <v>62</v>
      </c>
      <c r="C51" s="72">
        <v>20.6</v>
      </c>
      <c r="D51" s="96">
        <v>15.001300000000001</v>
      </c>
      <c r="E51" s="102">
        <v>0.32140000000000002</v>
      </c>
      <c r="F51" s="110">
        <v>0.1278</v>
      </c>
      <c r="G51" s="71">
        <v>36.200000000000003</v>
      </c>
      <c r="H51" s="96">
        <v>16.904399999999999</v>
      </c>
      <c r="I51" s="104">
        <v>0.78569999999999995</v>
      </c>
      <c r="J51" s="110">
        <v>5.9799999999999999E-2</v>
      </c>
      <c r="K51" s="72">
        <v>42.4</v>
      </c>
      <c r="L51" s="96">
        <v>15.2</v>
      </c>
      <c r="M51" s="102">
        <v>0.73570000000000002</v>
      </c>
      <c r="N51" s="110">
        <v>0.13800000000000001</v>
      </c>
    </row>
    <row r="52" spans="2:14" x14ac:dyDescent="0.35">
      <c r="B52" s="22" t="s">
        <v>14</v>
      </c>
      <c r="C52" s="72">
        <v>42.4</v>
      </c>
      <c r="D52" s="96">
        <v>2.7275999999999998</v>
      </c>
      <c r="E52" s="102">
        <v>0.47820000000000001</v>
      </c>
      <c r="F52" s="110">
        <v>1.9699999999999999E-2</v>
      </c>
      <c r="G52" s="88">
        <v>24.6</v>
      </c>
      <c r="H52" s="96">
        <v>4.0298999999999996</v>
      </c>
      <c r="I52" s="104">
        <v>0.67579999999999996</v>
      </c>
      <c r="J52" s="110">
        <v>2.2200000000000001E-2</v>
      </c>
      <c r="K52" s="73">
        <v>21.8</v>
      </c>
      <c r="L52" s="96">
        <v>2.6381999999999999</v>
      </c>
      <c r="M52" s="102">
        <v>0.67359999999999998</v>
      </c>
      <c r="N52" s="110">
        <v>1.29E-2</v>
      </c>
    </row>
    <row r="53" spans="2:14" x14ac:dyDescent="0.35">
      <c r="B53" s="74" t="s">
        <v>22</v>
      </c>
      <c r="C53" s="75">
        <f t="shared" ref="C53:G53" si="1">AVERAGE(C31:C52)</f>
        <v>38.727272727272727</v>
      </c>
      <c r="D53" s="93">
        <f t="shared" si="1"/>
        <v>3.6615909090909096</v>
      </c>
      <c r="E53" s="109">
        <f t="shared" si="1"/>
        <v>0.63531818181818178</v>
      </c>
      <c r="F53" s="111">
        <f t="shared" si="1"/>
        <v>2.6281818181818184E-2</v>
      </c>
      <c r="G53" s="75">
        <f t="shared" si="1"/>
        <v>24.563636363636366</v>
      </c>
      <c r="H53" s="134">
        <f>AVERAGE(H31:H52)</f>
        <v>3.2784909090909085</v>
      </c>
      <c r="I53" s="114">
        <f t="shared" ref="I53" si="2">AVERAGE(I31:I52)</f>
        <v>0.75770909090909089</v>
      </c>
      <c r="J53" s="117">
        <f>AVERAGE(J31:J52)</f>
        <v>1.5713636363636364E-2</v>
      </c>
      <c r="K53" s="76">
        <f t="shared" ref="K53" si="3">AVERAGE(K31:K52)</f>
        <v>22</v>
      </c>
      <c r="L53" s="93">
        <f>AVERAGE(L31:L52)</f>
        <v>2.7317499999999995</v>
      </c>
      <c r="M53" s="114">
        <f t="shared" ref="M53" si="4">AVERAGE(M31:M52)</f>
        <v>0.75769999999999993</v>
      </c>
      <c r="N53" s="121">
        <f>AVERAGE(N31:N52)</f>
        <v>2.1131818181818186E-2</v>
      </c>
    </row>
    <row r="55" spans="2:14" x14ac:dyDescent="0.35">
      <c r="B55" s="68" t="s">
        <v>56</v>
      </c>
      <c r="C55" s="148" t="s">
        <v>16</v>
      </c>
      <c r="D55" s="147"/>
      <c r="E55" s="147"/>
      <c r="F55" s="147"/>
      <c r="G55" s="147"/>
      <c r="H55" s="147"/>
      <c r="I55" s="147"/>
      <c r="J55" s="147"/>
      <c r="K55" s="147"/>
      <c r="L55" s="147"/>
      <c r="M55" s="147"/>
    </row>
    <row r="56" spans="2:14" x14ac:dyDescent="0.35">
      <c r="B56" s="50" t="s">
        <v>57</v>
      </c>
      <c r="C56" s="144" t="s">
        <v>61</v>
      </c>
      <c r="D56" s="145"/>
      <c r="E56" s="145"/>
      <c r="F56" s="146"/>
      <c r="G56" s="144" t="s">
        <v>58</v>
      </c>
      <c r="H56" s="145"/>
      <c r="I56" s="145"/>
      <c r="J56" s="146"/>
      <c r="K56" s="144" t="s">
        <v>59</v>
      </c>
      <c r="L56" s="145"/>
      <c r="M56" s="145"/>
      <c r="N56" s="145"/>
    </row>
    <row r="57" spans="2:14" x14ac:dyDescent="0.35">
      <c r="B57" s="16" t="s">
        <v>0</v>
      </c>
      <c r="C57" s="149" t="s">
        <v>52</v>
      </c>
      <c r="D57" s="150"/>
      <c r="E57" s="147" t="s">
        <v>53</v>
      </c>
      <c r="F57" s="151"/>
      <c r="G57" s="17" t="s">
        <v>52</v>
      </c>
      <c r="H57" s="19"/>
      <c r="I57" s="147" t="s">
        <v>53</v>
      </c>
      <c r="J57" s="151"/>
      <c r="K57" s="149" t="s">
        <v>52</v>
      </c>
      <c r="L57" s="150"/>
      <c r="M57" s="143" t="s">
        <v>53</v>
      </c>
      <c r="N57" s="143"/>
    </row>
    <row r="58" spans="2:14" x14ac:dyDescent="0.35">
      <c r="B58" s="22" t="s">
        <v>5</v>
      </c>
      <c r="C58" s="86">
        <v>48.8</v>
      </c>
      <c r="D58" s="96">
        <v>1.9391</v>
      </c>
      <c r="E58" s="102">
        <v>0.78859999999999997</v>
      </c>
      <c r="F58" s="110">
        <v>1.3599999999999999E-2</v>
      </c>
      <c r="G58" s="87">
        <v>31.6</v>
      </c>
      <c r="H58" s="94">
        <v>5.24</v>
      </c>
      <c r="I58" s="112">
        <v>0.89200000000000002</v>
      </c>
      <c r="J58" s="115">
        <v>1.3899999999999999E-2</v>
      </c>
      <c r="K58" s="39">
        <v>22.4</v>
      </c>
      <c r="L58" s="94">
        <v>2.42</v>
      </c>
      <c r="M58" s="118">
        <v>0.9022</v>
      </c>
      <c r="N58" s="116">
        <v>5.1999999999999998E-3</v>
      </c>
    </row>
    <row r="59" spans="2:14" x14ac:dyDescent="0.35">
      <c r="B59" s="22" t="s">
        <v>6</v>
      </c>
      <c r="C59" s="72">
        <v>22</v>
      </c>
      <c r="D59" s="96">
        <v>0.89439999999999997</v>
      </c>
      <c r="E59" s="102">
        <v>0.51849999999999996</v>
      </c>
      <c r="F59" s="110">
        <v>1.9800000000000002E-2</v>
      </c>
      <c r="G59" s="27">
        <v>16.600000000000001</v>
      </c>
      <c r="H59" s="94">
        <v>3.72</v>
      </c>
      <c r="I59" s="112">
        <v>0.68755999999999995</v>
      </c>
      <c r="J59" s="115">
        <v>3.27E-2</v>
      </c>
      <c r="K59" s="39">
        <v>13.4</v>
      </c>
      <c r="L59" s="94">
        <v>0.49</v>
      </c>
      <c r="M59" s="118">
        <v>0.69350000000000001</v>
      </c>
      <c r="N59" s="116">
        <v>2.8400000000000002E-2</v>
      </c>
    </row>
    <row r="60" spans="2:14" x14ac:dyDescent="0.35">
      <c r="B60" s="22" t="s">
        <v>7</v>
      </c>
      <c r="C60" s="72">
        <v>20.8</v>
      </c>
      <c r="D60" s="96">
        <v>1.833</v>
      </c>
      <c r="E60" s="102">
        <v>0.48259999999999997</v>
      </c>
      <c r="F60" s="110">
        <v>3.5400000000000001E-2</v>
      </c>
      <c r="G60" s="27">
        <v>22</v>
      </c>
      <c r="H60" s="94">
        <v>3.41</v>
      </c>
      <c r="I60" s="112">
        <v>0.74180000000000001</v>
      </c>
      <c r="J60" s="115">
        <v>3.0000000000000001E-3</v>
      </c>
      <c r="K60" s="39">
        <v>15.6</v>
      </c>
      <c r="L60" s="94">
        <v>1.02</v>
      </c>
      <c r="M60" s="118">
        <v>0.74890000000000001</v>
      </c>
      <c r="N60" s="116">
        <v>1.6999999999999999E-3</v>
      </c>
    </row>
    <row r="61" spans="2:14" x14ac:dyDescent="0.35">
      <c r="B61" s="22" t="s">
        <v>27</v>
      </c>
      <c r="C61" s="72">
        <v>24.2</v>
      </c>
      <c r="D61" s="96">
        <v>4.7073999999999998</v>
      </c>
      <c r="E61" s="102">
        <v>0.60319999999999996</v>
      </c>
      <c r="F61" s="110">
        <v>3.8100000000000002E-2</v>
      </c>
      <c r="G61" s="27">
        <v>21.6</v>
      </c>
      <c r="H61" s="94">
        <v>2.42</v>
      </c>
      <c r="I61" s="112">
        <v>0.78342000000000001</v>
      </c>
      <c r="J61" s="115">
        <v>8.3000000000000001E-3</v>
      </c>
      <c r="K61" s="39">
        <v>15</v>
      </c>
      <c r="L61" s="94">
        <v>1.1000000000000001</v>
      </c>
      <c r="M61" s="118">
        <v>0.79959999999999998</v>
      </c>
      <c r="N61" s="116">
        <v>6.4999999999999997E-3</v>
      </c>
    </row>
    <row r="62" spans="2:14" x14ac:dyDescent="0.35">
      <c r="B62" s="22" t="s">
        <v>8</v>
      </c>
      <c r="C62" s="72">
        <v>22</v>
      </c>
      <c r="D62" s="96">
        <v>0.63249999999999995</v>
      </c>
      <c r="E62" s="102">
        <v>0.53879999999999995</v>
      </c>
      <c r="F62" s="110">
        <v>4.4000000000000003E-3</v>
      </c>
      <c r="G62" s="27">
        <v>21</v>
      </c>
      <c r="H62" s="94">
        <v>3.69</v>
      </c>
      <c r="I62" s="112">
        <v>0.72463999999999995</v>
      </c>
      <c r="J62" s="115">
        <v>3.95E-2</v>
      </c>
      <c r="K62" s="39">
        <v>13.4</v>
      </c>
      <c r="L62" s="94">
        <v>0.49</v>
      </c>
      <c r="M62" s="118">
        <v>0.72860000000000003</v>
      </c>
      <c r="N62" s="116">
        <v>8.0000000000000002E-3</v>
      </c>
    </row>
    <row r="63" spans="2:14" x14ac:dyDescent="0.35">
      <c r="B63" s="22" t="s">
        <v>9</v>
      </c>
      <c r="C63" s="72">
        <v>21.2</v>
      </c>
      <c r="D63" s="96">
        <v>1.1661999999999999</v>
      </c>
      <c r="E63" s="102">
        <v>0.51700000000000002</v>
      </c>
      <c r="F63" s="110">
        <v>1.89E-2</v>
      </c>
      <c r="G63" s="27">
        <v>18.8</v>
      </c>
      <c r="H63" s="94">
        <v>3.97</v>
      </c>
      <c r="I63" s="112">
        <v>0.71423999999999999</v>
      </c>
      <c r="J63" s="115">
        <v>3.2500000000000001E-2</v>
      </c>
      <c r="K63" s="39">
        <v>13.6</v>
      </c>
      <c r="L63" s="94">
        <v>0.49</v>
      </c>
      <c r="M63" s="118">
        <v>0.71530000000000005</v>
      </c>
      <c r="N63" s="116">
        <v>1.9300000000000001E-2</v>
      </c>
    </row>
    <row r="64" spans="2:14" x14ac:dyDescent="0.35">
      <c r="B64" s="22" t="s">
        <v>28</v>
      </c>
      <c r="C64" s="72">
        <v>23.2</v>
      </c>
      <c r="D64" s="96">
        <v>3.1875</v>
      </c>
      <c r="E64" s="102">
        <v>0.4738</v>
      </c>
      <c r="F64" s="110">
        <v>2.92E-2</v>
      </c>
      <c r="G64" s="27">
        <v>24.6</v>
      </c>
      <c r="H64" s="94">
        <v>3.5</v>
      </c>
      <c r="I64" s="112">
        <v>0.68413999999999997</v>
      </c>
      <c r="J64" s="115">
        <v>1.7899999999999999E-2</v>
      </c>
      <c r="K64" s="39">
        <v>19</v>
      </c>
      <c r="L64" s="94">
        <v>2.37</v>
      </c>
      <c r="M64" s="118">
        <v>0.7369</v>
      </c>
      <c r="N64" s="116">
        <v>9.9000000000000008E-3</v>
      </c>
    </row>
    <row r="65" spans="2:14" x14ac:dyDescent="0.35">
      <c r="B65" s="22" t="s">
        <v>10</v>
      </c>
      <c r="C65" s="72">
        <v>20.8</v>
      </c>
      <c r="D65" s="96">
        <v>0.4</v>
      </c>
      <c r="E65" s="102">
        <v>0.52529999999999999</v>
      </c>
      <c r="F65" s="110">
        <v>1.4500000000000001E-2</v>
      </c>
      <c r="G65" s="27">
        <v>19.600000000000001</v>
      </c>
      <c r="H65" s="94">
        <v>3.93</v>
      </c>
      <c r="I65" s="113">
        <v>0.72265999999999997</v>
      </c>
      <c r="J65" s="115">
        <v>3.0200000000000001E-2</v>
      </c>
      <c r="K65" s="39">
        <v>15.8</v>
      </c>
      <c r="L65" s="94">
        <v>2.3199999999999998</v>
      </c>
      <c r="M65" s="120">
        <v>0.71409999999999996</v>
      </c>
      <c r="N65" s="116">
        <v>1.3599999999999999E-2</v>
      </c>
    </row>
    <row r="66" spans="2:14" x14ac:dyDescent="0.35">
      <c r="B66" s="22" t="s">
        <v>23</v>
      </c>
      <c r="C66" s="72">
        <v>31.2</v>
      </c>
      <c r="D66" s="96">
        <v>4.3080999999999996</v>
      </c>
      <c r="E66" s="102">
        <v>0.58220000000000005</v>
      </c>
      <c r="F66" s="110">
        <v>3.3599999999999998E-2</v>
      </c>
      <c r="G66" s="27">
        <v>30.8</v>
      </c>
      <c r="H66" s="94">
        <v>9.9499999999999993</v>
      </c>
      <c r="I66" s="112">
        <v>0.7681</v>
      </c>
      <c r="J66" s="115">
        <v>2.6499999999999999E-2</v>
      </c>
      <c r="K66" s="39">
        <v>21.4</v>
      </c>
      <c r="L66" s="94">
        <v>3.01</v>
      </c>
      <c r="M66" s="118">
        <v>0.82050000000000001</v>
      </c>
      <c r="N66" s="116">
        <v>1.5800000000000002E-2</v>
      </c>
    </row>
    <row r="67" spans="2:14" x14ac:dyDescent="0.35">
      <c r="B67" s="22" t="s">
        <v>29</v>
      </c>
      <c r="C67" s="72">
        <v>32.6</v>
      </c>
      <c r="D67" s="96">
        <v>4.1280000000000001</v>
      </c>
      <c r="E67" s="102">
        <v>0.48249999999999998</v>
      </c>
      <c r="F67" s="110">
        <v>2.92E-2</v>
      </c>
      <c r="G67" s="27">
        <v>24.4</v>
      </c>
      <c r="H67" s="94">
        <v>3.07</v>
      </c>
      <c r="I67" s="112">
        <v>0.67349999999999999</v>
      </c>
      <c r="J67" s="115">
        <v>0.03</v>
      </c>
      <c r="K67" s="39">
        <v>20</v>
      </c>
      <c r="L67" s="94">
        <v>2.2799999999999998</v>
      </c>
      <c r="M67" s="118">
        <v>0.74990000000000001</v>
      </c>
      <c r="N67" s="116">
        <v>8.8000000000000005E-3</v>
      </c>
    </row>
    <row r="68" spans="2:14" x14ac:dyDescent="0.35">
      <c r="B68" s="22" t="s">
        <v>11</v>
      </c>
      <c r="C68" s="72">
        <v>22.6</v>
      </c>
      <c r="D68" s="96">
        <v>0.4899</v>
      </c>
      <c r="E68" s="102">
        <v>0.49390000000000001</v>
      </c>
      <c r="F68" s="110">
        <v>2.4799999999999999E-2</v>
      </c>
      <c r="G68" s="27">
        <v>20.399999999999999</v>
      </c>
      <c r="H68" s="94">
        <v>3.38</v>
      </c>
      <c r="I68" s="112">
        <v>0.71257999999999999</v>
      </c>
      <c r="J68" s="115">
        <v>2.4199999999999999E-2</v>
      </c>
      <c r="K68" s="42">
        <v>18.2</v>
      </c>
      <c r="L68" s="98">
        <v>2.71</v>
      </c>
      <c r="M68" s="118">
        <v>0.73540000000000005</v>
      </c>
      <c r="N68" s="116">
        <v>5.4999999999999997E-3</v>
      </c>
    </row>
    <row r="69" spans="2:14" x14ac:dyDescent="0.35">
      <c r="B69" s="22" t="s">
        <v>25</v>
      </c>
      <c r="C69" s="72">
        <v>32.200000000000003</v>
      </c>
      <c r="D69" s="96">
        <v>3.7094</v>
      </c>
      <c r="E69" s="102">
        <v>0.60140000000000005</v>
      </c>
      <c r="F69" s="110">
        <v>1.4200000000000001E-2</v>
      </c>
      <c r="G69" s="27">
        <v>25</v>
      </c>
      <c r="H69" s="94">
        <v>2.76</v>
      </c>
      <c r="I69" s="112">
        <v>0.754</v>
      </c>
      <c r="J69" s="115">
        <v>3.2199999999999999E-2</v>
      </c>
      <c r="K69" s="39">
        <v>18.8</v>
      </c>
      <c r="L69" s="94">
        <v>1.47</v>
      </c>
      <c r="M69" s="118">
        <v>0.81899999999999995</v>
      </c>
      <c r="N69" s="116">
        <v>1.2800000000000001E-2</v>
      </c>
    </row>
    <row r="70" spans="2:14" x14ac:dyDescent="0.35">
      <c r="B70" s="22" t="s">
        <v>24</v>
      </c>
      <c r="C70" s="72">
        <v>32.4</v>
      </c>
      <c r="D70" s="96">
        <v>5.9195000000000002</v>
      </c>
      <c r="E70" s="102">
        <v>0.62070000000000003</v>
      </c>
      <c r="F70" s="110">
        <v>3.1899999999999998E-2</v>
      </c>
      <c r="G70" s="27">
        <v>36.799999999999997</v>
      </c>
      <c r="H70" s="94">
        <v>7.52</v>
      </c>
      <c r="I70" s="112">
        <v>0.79288000000000003</v>
      </c>
      <c r="J70" s="115">
        <v>1.17E-2</v>
      </c>
      <c r="K70" s="39">
        <v>29.2</v>
      </c>
      <c r="L70" s="94">
        <v>9.3699999999999992</v>
      </c>
      <c r="M70" s="118">
        <v>0.83889999999999998</v>
      </c>
      <c r="N70" s="116">
        <v>1.06E-2</v>
      </c>
    </row>
    <row r="71" spans="2:14" x14ac:dyDescent="0.35">
      <c r="B71" s="22" t="s">
        <v>17</v>
      </c>
      <c r="C71" s="72">
        <v>24.6</v>
      </c>
      <c r="D71" s="96">
        <v>2.7275999999999998</v>
      </c>
      <c r="E71" s="102">
        <v>0.51470000000000005</v>
      </c>
      <c r="F71" s="110">
        <v>1.3299999999999999E-2</v>
      </c>
      <c r="G71" s="27">
        <v>22</v>
      </c>
      <c r="H71" s="94">
        <v>1.41</v>
      </c>
      <c r="I71" s="112">
        <v>0.76232</v>
      </c>
      <c r="J71" s="115">
        <v>1.6899999999999998E-2</v>
      </c>
      <c r="K71" s="39">
        <v>20.399999999999999</v>
      </c>
      <c r="L71" s="94">
        <v>1.36</v>
      </c>
      <c r="M71" s="118">
        <v>0.7863</v>
      </c>
      <c r="N71" s="116">
        <v>7.4000000000000003E-3</v>
      </c>
    </row>
    <row r="72" spans="2:14" x14ac:dyDescent="0.35">
      <c r="B72" s="22" t="s">
        <v>12</v>
      </c>
      <c r="C72" s="72">
        <v>22.2</v>
      </c>
      <c r="D72" s="96">
        <v>1.1661999999999999</v>
      </c>
      <c r="E72" s="102">
        <v>0.43409999999999999</v>
      </c>
      <c r="F72" s="110">
        <v>1.29E-2</v>
      </c>
      <c r="G72" s="27">
        <v>19</v>
      </c>
      <c r="H72" s="94">
        <v>1.41</v>
      </c>
      <c r="I72" s="112">
        <v>0.68901999999999997</v>
      </c>
      <c r="J72" s="115">
        <v>1.12E-2</v>
      </c>
      <c r="K72" s="39">
        <v>17.8</v>
      </c>
      <c r="L72" s="94">
        <v>0.75</v>
      </c>
      <c r="M72" s="118">
        <v>0.69010000000000005</v>
      </c>
      <c r="N72" s="116">
        <v>7.3000000000000001E-3</v>
      </c>
    </row>
    <row r="73" spans="2:14" x14ac:dyDescent="0.35">
      <c r="B73" s="22" t="s">
        <v>19</v>
      </c>
      <c r="C73" s="72">
        <v>30.2</v>
      </c>
      <c r="D73" s="96">
        <v>3.8677999999999999</v>
      </c>
      <c r="E73" s="102">
        <v>0.61099999999999999</v>
      </c>
      <c r="F73" s="110">
        <v>3.6400000000000002E-2</v>
      </c>
      <c r="G73" s="27">
        <v>23.2</v>
      </c>
      <c r="H73" s="94">
        <v>3.87</v>
      </c>
      <c r="I73" s="112">
        <v>0.76737999999999995</v>
      </c>
      <c r="J73" s="115">
        <v>1.9E-2</v>
      </c>
      <c r="K73" s="39">
        <v>19.2</v>
      </c>
      <c r="L73" s="94">
        <v>2.71</v>
      </c>
      <c r="M73" s="118">
        <v>0.82650000000000001</v>
      </c>
      <c r="N73" s="116">
        <v>6.1000000000000004E-3</v>
      </c>
    </row>
    <row r="74" spans="2:14" x14ac:dyDescent="0.35">
      <c r="B74" s="22" t="s">
        <v>26</v>
      </c>
      <c r="C74" s="72">
        <v>34.6</v>
      </c>
      <c r="D74" s="96">
        <v>12.3871</v>
      </c>
      <c r="E74" s="102">
        <v>0.38319999999999999</v>
      </c>
      <c r="F74" s="110">
        <v>0.14560000000000001</v>
      </c>
      <c r="G74" s="39">
        <v>25.8</v>
      </c>
      <c r="H74" s="94">
        <v>5.98</v>
      </c>
      <c r="I74" s="112">
        <v>0.70064000000000004</v>
      </c>
      <c r="J74" s="115">
        <v>4.4400000000000002E-2</v>
      </c>
      <c r="K74" s="27">
        <v>26.8</v>
      </c>
      <c r="L74" s="94">
        <v>2.48</v>
      </c>
      <c r="M74" s="118">
        <v>0.76770000000000005</v>
      </c>
      <c r="N74" s="116">
        <v>4.1399999999999999E-2</v>
      </c>
    </row>
    <row r="75" spans="2:14" x14ac:dyDescent="0.35">
      <c r="B75" s="22" t="s">
        <v>13</v>
      </c>
      <c r="C75" s="72">
        <v>21.4</v>
      </c>
      <c r="D75" s="96">
        <v>1.4966999999999999</v>
      </c>
      <c r="E75" s="102">
        <v>0.39190000000000003</v>
      </c>
      <c r="F75" s="110">
        <v>1.52E-2</v>
      </c>
      <c r="G75" s="27">
        <v>20.2</v>
      </c>
      <c r="H75" s="94">
        <v>0.75</v>
      </c>
      <c r="I75" s="113">
        <v>0.62734000000000001</v>
      </c>
      <c r="J75" s="115">
        <v>9.7999999999999997E-3</v>
      </c>
      <c r="K75" s="39">
        <v>15.2</v>
      </c>
      <c r="L75" s="94">
        <v>1.94</v>
      </c>
      <c r="M75" s="120">
        <v>0.58379999999999999</v>
      </c>
      <c r="N75" s="116">
        <v>1.34E-2</v>
      </c>
    </row>
    <row r="76" spans="2:14" x14ac:dyDescent="0.35">
      <c r="B76" s="22" t="s">
        <v>20</v>
      </c>
      <c r="C76" s="72">
        <v>25.6</v>
      </c>
      <c r="D76" s="96">
        <v>4.6733000000000002</v>
      </c>
      <c r="E76" s="102">
        <v>0.3826</v>
      </c>
      <c r="F76" s="110">
        <v>1.67E-2</v>
      </c>
      <c r="G76" s="27">
        <v>19.399999999999999</v>
      </c>
      <c r="H76" s="94">
        <v>3.61</v>
      </c>
      <c r="I76" s="112">
        <v>0.58575999999999995</v>
      </c>
      <c r="J76" s="115">
        <v>3.0599999999999999E-2</v>
      </c>
      <c r="K76" s="42">
        <v>16.600000000000001</v>
      </c>
      <c r="L76" s="98">
        <v>3.2</v>
      </c>
      <c r="M76" s="122">
        <v>0.65249999999999997</v>
      </c>
      <c r="N76" s="116">
        <v>9.1999999999999998E-3</v>
      </c>
    </row>
    <row r="77" spans="2:14" x14ac:dyDescent="0.35">
      <c r="B77" s="22" t="s">
        <v>18</v>
      </c>
      <c r="C77" s="72">
        <v>28</v>
      </c>
      <c r="D77" s="96">
        <v>4.3358999999999996</v>
      </c>
      <c r="E77" s="102">
        <v>0.42849999999999999</v>
      </c>
      <c r="F77" s="110">
        <v>3.1600000000000003E-2</v>
      </c>
      <c r="G77" s="27">
        <v>25</v>
      </c>
      <c r="H77" s="94">
        <v>2.19</v>
      </c>
      <c r="I77" s="112">
        <v>0.78112000000000004</v>
      </c>
      <c r="J77" s="115">
        <v>1.34E-2</v>
      </c>
      <c r="K77" s="39">
        <v>19.2</v>
      </c>
      <c r="L77" s="94">
        <v>3.31</v>
      </c>
      <c r="M77" s="118">
        <v>0.80130000000000001</v>
      </c>
      <c r="N77" s="116">
        <v>1.2200000000000001E-2</v>
      </c>
    </row>
    <row r="78" spans="2:14" x14ac:dyDescent="0.35">
      <c r="B78" s="22" t="s">
        <v>62</v>
      </c>
      <c r="C78" s="72">
        <v>49</v>
      </c>
      <c r="D78" s="96">
        <v>2</v>
      </c>
      <c r="E78" s="102">
        <v>0.16070000000000001</v>
      </c>
      <c r="F78" s="110">
        <v>4.5199999999999997E-2</v>
      </c>
      <c r="G78" s="39">
        <v>40.6</v>
      </c>
      <c r="H78" s="94">
        <v>10.61</v>
      </c>
      <c r="I78" s="113">
        <v>0.97141999999999995</v>
      </c>
      <c r="J78" s="115">
        <v>5.7099999999999998E-2</v>
      </c>
      <c r="K78" s="27">
        <v>42.8</v>
      </c>
      <c r="L78" s="94">
        <v>14.4</v>
      </c>
      <c r="M78" s="120">
        <v>0.84289999999999998</v>
      </c>
      <c r="N78" s="116">
        <v>0.12130000000000001</v>
      </c>
    </row>
    <row r="79" spans="2:14" x14ac:dyDescent="0.35">
      <c r="B79" s="22" t="s">
        <v>14</v>
      </c>
      <c r="C79" s="73">
        <v>24.6</v>
      </c>
      <c r="D79" s="96">
        <v>2.2450000000000001</v>
      </c>
      <c r="E79" s="102">
        <v>0.34789999999999999</v>
      </c>
      <c r="F79" s="110">
        <v>2.12E-2</v>
      </c>
      <c r="G79" s="43">
        <v>29.4</v>
      </c>
      <c r="H79" s="95">
        <v>10.63</v>
      </c>
      <c r="I79" s="112">
        <v>0.61882000000000004</v>
      </c>
      <c r="J79" s="115">
        <v>2.7199999999999998E-2</v>
      </c>
      <c r="K79" s="70">
        <v>24.6</v>
      </c>
      <c r="L79" s="95">
        <v>4.5</v>
      </c>
      <c r="M79" s="123">
        <v>0.66020000000000001</v>
      </c>
      <c r="N79" s="116">
        <v>2.2599999999999999E-2</v>
      </c>
    </row>
    <row r="80" spans="2:14" x14ac:dyDescent="0.35">
      <c r="B80" s="74" t="s">
        <v>22</v>
      </c>
      <c r="C80" s="75">
        <f t="shared" ref="C80:N80" si="5">AVERAGE(C58:C79)</f>
        <v>27.918181818181822</v>
      </c>
      <c r="D80" s="93">
        <f t="shared" si="5"/>
        <v>3.1006636363636364</v>
      </c>
      <c r="E80" s="109">
        <f>AVERAGE(E58:E79)</f>
        <v>0.49468636363636365</v>
      </c>
      <c r="F80" s="127">
        <f>AVERAGE(F58:F79)</f>
        <v>2.9350000000000001E-2</v>
      </c>
      <c r="G80" s="97">
        <f t="shared" si="5"/>
        <v>24.445454545454549</v>
      </c>
      <c r="H80" s="135">
        <f>AVERAGE(H58:H79)</f>
        <v>4.4099999999999993</v>
      </c>
      <c r="I80" s="109">
        <f t="shared" si="5"/>
        <v>0.73433363636363636</v>
      </c>
      <c r="J80" s="127">
        <f t="shared" si="5"/>
        <v>2.4190909090909093E-2</v>
      </c>
      <c r="K80" s="17">
        <f t="shared" si="5"/>
        <v>19.927272727272729</v>
      </c>
      <c r="L80" s="99">
        <f t="shared" si="5"/>
        <v>2.9177272727272725</v>
      </c>
      <c r="M80" s="124">
        <f t="shared" si="5"/>
        <v>0.75518636363636371</v>
      </c>
      <c r="N80" s="127">
        <f t="shared" si="5"/>
        <v>1.7590909090909091E-2</v>
      </c>
    </row>
    <row r="82" spans="2:14" x14ac:dyDescent="0.35">
      <c r="B82" s="68" t="s">
        <v>56</v>
      </c>
      <c r="C82" s="147" t="s">
        <v>55</v>
      </c>
      <c r="D82" s="147"/>
      <c r="E82" s="147"/>
      <c r="F82" s="147"/>
      <c r="G82" s="147"/>
      <c r="H82" s="147"/>
      <c r="I82" s="147"/>
      <c r="J82" s="147"/>
      <c r="K82" s="141"/>
      <c r="L82" s="141"/>
      <c r="M82" s="141"/>
    </row>
    <row r="83" spans="2:14" x14ac:dyDescent="0.35">
      <c r="B83" s="84" t="s">
        <v>57</v>
      </c>
      <c r="C83" s="144" t="s">
        <v>61</v>
      </c>
      <c r="D83" s="145"/>
      <c r="E83" s="145"/>
      <c r="F83" s="145"/>
      <c r="G83" s="144" t="s">
        <v>58</v>
      </c>
      <c r="H83" s="145"/>
      <c r="I83" s="145"/>
      <c r="J83" s="146"/>
      <c r="K83" s="144" t="s">
        <v>59</v>
      </c>
      <c r="L83" s="145"/>
      <c r="M83" s="145"/>
      <c r="N83" s="145"/>
    </row>
    <row r="84" spans="2:14" x14ac:dyDescent="0.35">
      <c r="B84" s="16" t="s">
        <v>0</v>
      </c>
      <c r="C84" s="149" t="s">
        <v>52</v>
      </c>
      <c r="D84" s="150"/>
      <c r="E84" s="147" t="s">
        <v>53</v>
      </c>
      <c r="F84" s="151"/>
      <c r="G84" s="149" t="s">
        <v>52</v>
      </c>
      <c r="H84" s="150"/>
      <c r="I84" s="147" t="s">
        <v>53</v>
      </c>
      <c r="J84" s="142"/>
      <c r="K84" s="149" t="s">
        <v>52</v>
      </c>
      <c r="L84" s="150"/>
      <c r="M84" s="143" t="s">
        <v>53</v>
      </c>
      <c r="N84" s="143"/>
    </row>
    <row r="85" spans="2:14" x14ac:dyDescent="0.35">
      <c r="B85" s="22" t="s">
        <v>5</v>
      </c>
      <c r="C85" s="86">
        <v>47.4</v>
      </c>
      <c r="D85" s="96">
        <v>3.5552999999999999</v>
      </c>
      <c r="E85" s="102">
        <v>0.77470000000000006</v>
      </c>
      <c r="F85" s="110">
        <v>2.2800000000000001E-2</v>
      </c>
      <c r="G85" s="87">
        <v>28.4</v>
      </c>
      <c r="H85" s="94">
        <v>6.09</v>
      </c>
      <c r="I85" s="120">
        <v>0.90359999999999996</v>
      </c>
      <c r="J85" s="128">
        <v>1.52E-2</v>
      </c>
      <c r="K85" s="60">
        <v>24.8</v>
      </c>
      <c r="L85" s="96">
        <v>6.68</v>
      </c>
      <c r="M85" s="104">
        <v>0.90639999999999998</v>
      </c>
      <c r="N85" s="116">
        <v>1.2500000000000001E-2</v>
      </c>
    </row>
    <row r="86" spans="2:14" x14ac:dyDescent="0.35">
      <c r="B86" s="22" t="s">
        <v>6</v>
      </c>
      <c r="C86" s="72">
        <v>22</v>
      </c>
      <c r="D86" s="96">
        <v>0.89439999999999997</v>
      </c>
      <c r="E86" s="102">
        <v>0.53749999999999998</v>
      </c>
      <c r="F86" s="110">
        <v>2.1999999999999999E-2</v>
      </c>
      <c r="G86" s="27">
        <v>15.2</v>
      </c>
      <c r="H86" s="94">
        <v>1.47</v>
      </c>
      <c r="I86" s="120">
        <v>0.67800000000000005</v>
      </c>
      <c r="J86" s="129">
        <v>4.1700000000000001E-2</v>
      </c>
      <c r="K86" s="60">
        <v>13.6</v>
      </c>
      <c r="L86" s="96">
        <v>0.49</v>
      </c>
      <c r="M86" s="104">
        <v>0.72140000000000004</v>
      </c>
      <c r="N86" s="116">
        <v>7.4000000000000003E-3</v>
      </c>
    </row>
    <row r="87" spans="2:14" x14ac:dyDescent="0.35">
      <c r="B87" s="22" t="s">
        <v>7</v>
      </c>
      <c r="C87" s="72">
        <v>22</v>
      </c>
      <c r="D87" s="96">
        <v>1.0953999999999999</v>
      </c>
      <c r="E87" s="102">
        <v>0.48609999999999998</v>
      </c>
      <c r="F87" s="110">
        <v>3.1899999999999998E-2</v>
      </c>
      <c r="G87" s="27">
        <v>22</v>
      </c>
      <c r="H87" s="94">
        <v>1.67</v>
      </c>
      <c r="I87" s="120">
        <v>0.7429</v>
      </c>
      <c r="J87" s="129">
        <v>1.23E-2</v>
      </c>
      <c r="K87" s="60">
        <v>16.2</v>
      </c>
      <c r="L87" s="96">
        <v>2.71</v>
      </c>
      <c r="M87" s="104">
        <v>0.75619999999999998</v>
      </c>
      <c r="N87" s="116">
        <v>9.7000000000000003E-3</v>
      </c>
    </row>
    <row r="88" spans="2:14" x14ac:dyDescent="0.35">
      <c r="B88" s="22" t="s">
        <v>27</v>
      </c>
      <c r="C88" s="72">
        <v>29</v>
      </c>
      <c r="D88" s="96">
        <v>3.1623000000000001</v>
      </c>
      <c r="E88" s="102">
        <v>0.64419999999999999</v>
      </c>
      <c r="F88" s="110">
        <v>1.95E-2</v>
      </c>
      <c r="G88" s="27">
        <v>19.2</v>
      </c>
      <c r="H88" s="94">
        <v>0.98</v>
      </c>
      <c r="I88" s="120">
        <v>0.78900000000000003</v>
      </c>
      <c r="J88" s="129">
        <v>8.3999999999999995E-3</v>
      </c>
      <c r="K88" s="60">
        <v>15.4</v>
      </c>
      <c r="L88" s="96">
        <v>0.49</v>
      </c>
      <c r="M88" s="104">
        <v>0.81079999999999997</v>
      </c>
      <c r="N88" s="116">
        <v>7.1000000000000004E-3</v>
      </c>
    </row>
    <row r="89" spans="2:14" x14ac:dyDescent="0.35">
      <c r="B89" s="22" t="s">
        <v>8</v>
      </c>
      <c r="C89" s="72">
        <v>21.2</v>
      </c>
      <c r="D89" s="96">
        <v>0.4</v>
      </c>
      <c r="E89" s="102">
        <v>0.54279999999999995</v>
      </c>
      <c r="F89" s="110">
        <v>2.3400000000000001E-2</v>
      </c>
      <c r="G89" s="27">
        <v>18.600000000000001</v>
      </c>
      <c r="H89" s="94">
        <v>2.87</v>
      </c>
      <c r="I89" s="120">
        <v>0.73070000000000002</v>
      </c>
      <c r="J89" s="129">
        <v>4.2200000000000001E-2</v>
      </c>
      <c r="K89" s="60">
        <v>13.8</v>
      </c>
      <c r="L89" s="96">
        <v>0.75</v>
      </c>
      <c r="M89" s="104">
        <v>0.74199999999999999</v>
      </c>
      <c r="N89" s="116">
        <v>6.0000000000000001E-3</v>
      </c>
    </row>
    <row r="90" spans="2:14" x14ac:dyDescent="0.35">
      <c r="B90" s="22" t="s">
        <v>9</v>
      </c>
      <c r="C90" s="72">
        <v>21.8</v>
      </c>
      <c r="D90" s="96">
        <v>1.1661999999999999</v>
      </c>
      <c r="E90" s="102">
        <v>0.52300000000000002</v>
      </c>
      <c r="F90" s="110">
        <v>1.14E-2</v>
      </c>
      <c r="G90" s="27">
        <v>18.2</v>
      </c>
      <c r="H90" s="94">
        <v>3.66</v>
      </c>
      <c r="I90" s="120">
        <v>0.70809999999999995</v>
      </c>
      <c r="J90" s="129">
        <v>6.0900000000000003E-2</v>
      </c>
      <c r="K90" s="60">
        <v>15.4</v>
      </c>
      <c r="L90" s="96">
        <v>2.58</v>
      </c>
      <c r="M90" s="104">
        <v>0.73950000000000005</v>
      </c>
      <c r="N90" s="116">
        <v>1.5299999999999999E-2</v>
      </c>
    </row>
    <row r="91" spans="2:14" x14ac:dyDescent="0.35">
      <c r="B91" s="22" t="s">
        <v>28</v>
      </c>
      <c r="C91" s="72">
        <v>22.6</v>
      </c>
      <c r="D91" s="96">
        <v>3.2</v>
      </c>
      <c r="E91" s="102">
        <v>0.45929999999999999</v>
      </c>
      <c r="F91" s="110">
        <v>5.0700000000000002E-2</v>
      </c>
      <c r="G91" s="27">
        <v>22.8</v>
      </c>
      <c r="H91" s="94">
        <v>2.79</v>
      </c>
      <c r="I91" s="120">
        <v>0.70499999999999996</v>
      </c>
      <c r="J91" s="129">
        <v>9.7999999999999997E-3</v>
      </c>
      <c r="K91" s="60">
        <v>15.2</v>
      </c>
      <c r="L91" s="96">
        <v>0.75</v>
      </c>
      <c r="M91" s="104">
        <v>0.751</v>
      </c>
      <c r="N91" s="116">
        <v>1.6E-2</v>
      </c>
    </row>
    <row r="92" spans="2:14" x14ac:dyDescent="0.35">
      <c r="B92" s="22" t="s">
        <v>10</v>
      </c>
      <c r="C92" s="72">
        <v>22.2</v>
      </c>
      <c r="D92" s="96">
        <v>0.4</v>
      </c>
      <c r="E92" s="102">
        <v>0.53810000000000002</v>
      </c>
      <c r="F92" s="110">
        <v>1.52E-2</v>
      </c>
      <c r="G92" s="27">
        <v>21.2</v>
      </c>
      <c r="H92" s="94">
        <v>3.06</v>
      </c>
      <c r="I92" s="118">
        <v>0.74019999999999997</v>
      </c>
      <c r="J92" s="129">
        <v>1.03E-2</v>
      </c>
      <c r="K92" s="60">
        <v>15.4</v>
      </c>
      <c r="L92" s="96">
        <v>1.74</v>
      </c>
      <c r="M92" s="102">
        <v>0.73560000000000003</v>
      </c>
      <c r="N92" s="116">
        <v>6.3E-3</v>
      </c>
    </row>
    <row r="93" spans="2:14" x14ac:dyDescent="0.35">
      <c r="B93" s="22" t="s">
        <v>23</v>
      </c>
      <c r="C93" s="72">
        <v>34</v>
      </c>
      <c r="D93" s="96">
        <v>10.488099999999999</v>
      </c>
      <c r="E93" s="102">
        <v>0.58179999999999998</v>
      </c>
      <c r="F93" s="110">
        <v>1.26E-2</v>
      </c>
      <c r="G93" s="27">
        <v>31.6</v>
      </c>
      <c r="H93" s="94">
        <v>10.33</v>
      </c>
      <c r="I93" s="120">
        <v>0.77759999999999996</v>
      </c>
      <c r="J93" s="129">
        <v>8.9999999999999993E-3</v>
      </c>
      <c r="K93" s="60">
        <v>23.8</v>
      </c>
      <c r="L93" s="96">
        <v>5.56</v>
      </c>
      <c r="M93" s="104">
        <v>0.83230000000000004</v>
      </c>
      <c r="N93" s="116">
        <v>1.66E-2</v>
      </c>
    </row>
    <row r="94" spans="2:14" x14ac:dyDescent="0.35">
      <c r="B94" s="22" t="s">
        <v>29</v>
      </c>
      <c r="C94" s="72">
        <v>35</v>
      </c>
      <c r="D94" s="96">
        <v>6.7823000000000002</v>
      </c>
      <c r="E94" s="102">
        <v>0.4844</v>
      </c>
      <c r="F94" s="110">
        <v>2.7799999999999998E-2</v>
      </c>
      <c r="G94" s="27">
        <v>23</v>
      </c>
      <c r="H94" s="94">
        <v>1.67</v>
      </c>
      <c r="I94" s="120">
        <v>0.67579999999999996</v>
      </c>
      <c r="J94" s="129">
        <v>9.7000000000000003E-3</v>
      </c>
      <c r="K94" s="60">
        <v>21.6</v>
      </c>
      <c r="L94" s="96">
        <v>2.15</v>
      </c>
      <c r="M94" s="104">
        <v>0.76429999999999998</v>
      </c>
      <c r="N94" s="116">
        <v>1.52E-2</v>
      </c>
    </row>
    <row r="95" spans="2:14" x14ac:dyDescent="0.35">
      <c r="B95" s="22" t="s">
        <v>11</v>
      </c>
      <c r="C95" s="72">
        <v>23.4</v>
      </c>
      <c r="D95" s="96">
        <v>0.8</v>
      </c>
      <c r="E95" s="102">
        <v>0.52470000000000006</v>
      </c>
      <c r="F95" s="110">
        <v>1.46E-2</v>
      </c>
      <c r="G95" s="27">
        <v>21.6</v>
      </c>
      <c r="H95" s="94">
        <v>3.26</v>
      </c>
      <c r="I95" s="120">
        <v>0.73450000000000004</v>
      </c>
      <c r="J95" s="129">
        <v>2.52E-2</v>
      </c>
      <c r="K95" s="60">
        <v>19.399999999999999</v>
      </c>
      <c r="L95" s="96">
        <v>1.96</v>
      </c>
      <c r="M95" s="104">
        <v>0.75309999999999999</v>
      </c>
      <c r="N95" s="116">
        <v>1.21E-2</v>
      </c>
    </row>
    <row r="96" spans="2:14" x14ac:dyDescent="0.35">
      <c r="B96" s="22" t="s">
        <v>25</v>
      </c>
      <c r="C96" s="72">
        <v>30.2</v>
      </c>
      <c r="D96" s="96">
        <v>3.9699</v>
      </c>
      <c r="E96" s="102">
        <v>0.58799999999999997</v>
      </c>
      <c r="F96" s="110">
        <v>1.2200000000000001E-2</v>
      </c>
      <c r="G96" s="27">
        <v>24.2</v>
      </c>
      <c r="H96" s="94">
        <v>2.93</v>
      </c>
      <c r="I96" s="120">
        <v>0.74980000000000002</v>
      </c>
      <c r="J96" s="129">
        <v>1.4E-2</v>
      </c>
      <c r="K96" s="60">
        <v>23.8</v>
      </c>
      <c r="L96" s="96">
        <v>5.98</v>
      </c>
      <c r="M96" s="104">
        <v>0.83960000000000001</v>
      </c>
      <c r="N96" s="116">
        <v>9.5999999999999992E-3</v>
      </c>
    </row>
    <row r="97" spans="2:14" x14ac:dyDescent="0.35">
      <c r="B97" s="22" t="s">
        <v>24</v>
      </c>
      <c r="C97" s="72">
        <v>27.6</v>
      </c>
      <c r="D97" s="96">
        <v>2.5768</v>
      </c>
      <c r="E97" s="102">
        <v>0.63890000000000002</v>
      </c>
      <c r="F97" s="110">
        <v>1.43E-2</v>
      </c>
      <c r="G97" s="27">
        <v>29.8</v>
      </c>
      <c r="H97" s="94">
        <v>5.74</v>
      </c>
      <c r="I97" s="120">
        <v>0.78600000000000003</v>
      </c>
      <c r="J97" s="129">
        <v>2.3300000000000001E-2</v>
      </c>
      <c r="K97" s="60">
        <v>21.8</v>
      </c>
      <c r="L97" s="96">
        <v>3.71</v>
      </c>
      <c r="M97" s="104">
        <v>0.85109999999999997</v>
      </c>
      <c r="N97" s="116">
        <v>1.4999999999999999E-2</v>
      </c>
    </row>
    <row r="98" spans="2:14" x14ac:dyDescent="0.35">
      <c r="B98" s="22" t="s">
        <v>17</v>
      </c>
      <c r="C98" s="72">
        <v>25.6</v>
      </c>
      <c r="D98" s="96">
        <v>3.7736000000000001</v>
      </c>
      <c r="E98" s="102">
        <v>0.52290000000000003</v>
      </c>
      <c r="F98" s="110">
        <v>3.9199999999999999E-2</v>
      </c>
      <c r="G98" s="27">
        <v>20.8</v>
      </c>
      <c r="H98" s="94">
        <v>0.75</v>
      </c>
      <c r="I98" s="120">
        <v>0.77680000000000005</v>
      </c>
      <c r="J98" s="129">
        <v>8.6E-3</v>
      </c>
      <c r="K98" s="60">
        <v>20.2</v>
      </c>
      <c r="L98" s="96">
        <v>1.6</v>
      </c>
      <c r="M98" s="104">
        <v>0.79549999999999998</v>
      </c>
      <c r="N98" s="116">
        <v>6.4999999999999997E-3</v>
      </c>
    </row>
    <row r="99" spans="2:14" x14ac:dyDescent="0.35">
      <c r="B99" s="22" t="s">
        <v>12</v>
      </c>
      <c r="C99" s="72">
        <v>24</v>
      </c>
      <c r="D99" s="96">
        <v>0.89439999999999997</v>
      </c>
      <c r="E99" s="102">
        <v>0.4597</v>
      </c>
      <c r="F99" s="110">
        <v>1.1900000000000001E-2</v>
      </c>
      <c r="G99" s="27">
        <v>20.6</v>
      </c>
      <c r="H99" s="94">
        <v>3.07</v>
      </c>
      <c r="I99" s="120">
        <v>0.71819999999999995</v>
      </c>
      <c r="J99" s="129">
        <v>9.1999999999999998E-3</v>
      </c>
      <c r="K99" s="60">
        <v>18</v>
      </c>
      <c r="L99" s="96">
        <v>2.1</v>
      </c>
      <c r="M99" s="104">
        <v>0.70879999999999999</v>
      </c>
      <c r="N99" s="116">
        <v>4.7000000000000002E-3</v>
      </c>
    </row>
    <row r="100" spans="2:14" x14ac:dyDescent="0.35">
      <c r="B100" s="22" t="s">
        <v>19</v>
      </c>
      <c r="C100" s="72">
        <v>35.6</v>
      </c>
      <c r="D100" s="96">
        <v>6.6813000000000002</v>
      </c>
      <c r="E100" s="102">
        <v>0.62129999999999996</v>
      </c>
      <c r="F100" s="110">
        <v>1.5299999999999999E-2</v>
      </c>
      <c r="G100" s="27">
        <v>22.6</v>
      </c>
      <c r="H100" s="94">
        <v>1.36</v>
      </c>
      <c r="I100" s="120">
        <v>0.78400000000000003</v>
      </c>
      <c r="J100" s="129">
        <v>1.6400000000000001E-2</v>
      </c>
      <c r="K100" s="60">
        <v>18.399999999999999</v>
      </c>
      <c r="L100" s="96">
        <v>4.41</v>
      </c>
      <c r="M100" s="104">
        <v>0.81699999999999995</v>
      </c>
      <c r="N100" s="116">
        <v>1.11E-2</v>
      </c>
    </row>
    <row r="101" spans="2:14" x14ac:dyDescent="0.35">
      <c r="B101" s="22" t="s">
        <v>26</v>
      </c>
      <c r="C101" s="72">
        <v>33.200000000000003</v>
      </c>
      <c r="D101" s="96">
        <v>17.554500000000001</v>
      </c>
      <c r="E101" s="102">
        <v>0.27479999999999999</v>
      </c>
      <c r="F101" s="110">
        <v>0.1666</v>
      </c>
      <c r="G101" s="39">
        <v>22</v>
      </c>
      <c r="H101" s="94">
        <v>4.24</v>
      </c>
      <c r="I101" s="120">
        <v>0.71870000000000001</v>
      </c>
      <c r="J101" s="129">
        <v>2.93E-2</v>
      </c>
      <c r="K101" s="57">
        <v>28.2</v>
      </c>
      <c r="L101" s="96">
        <v>4.79</v>
      </c>
      <c r="M101" s="104">
        <v>0.76519999999999999</v>
      </c>
      <c r="N101" s="116">
        <v>4.2299999999999997E-2</v>
      </c>
    </row>
    <row r="102" spans="2:14" x14ac:dyDescent="0.35">
      <c r="B102" s="22" t="s">
        <v>13</v>
      </c>
      <c r="C102" s="72">
        <v>22.2</v>
      </c>
      <c r="D102" s="96">
        <v>1.7204999999999999</v>
      </c>
      <c r="E102" s="102">
        <v>0.40529999999999999</v>
      </c>
      <c r="F102" s="110">
        <v>9.9000000000000008E-3</v>
      </c>
      <c r="G102" s="27">
        <v>20.399999999999999</v>
      </c>
      <c r="H102" s="94">
        <v>1.62</v>
      </c>
      <c r="I102" s="118">
        <v>0.64770000000000005</v>
      </c>
      <c r="J102" s="129">
        <v>1.5299999999999999E-2</v>
      </c>
      <c r="K102" s="60">
        <v>14.8</v>
      </c>
      <c r="L102" s="96">
        <v>1.6</v>
      </c>
      <c r="M102" s="102">
        <v>0.60599999999999998</v>
      </c>
      <c r="N102" s="116">
        <v>1.6899999999999998E-2</v>
      </c>
    </row>
    <row r="103" spans="2:14" x14ac:dyDescent="0.35">
      <c r="B103" s="22" t="s">
        <v>20</v>
      </c>
      <c r="C103" s="72">
        <v>22.4</v>
      </c>
      <c r="D103" s="96">
        <v>1.0198</v>
      </c>
      <c r="E103" s="102">
        <v>0.40760000000000002</v>
      </c>
      <c r="F103" s="110">
        <v>1.17E-2</v>
      </c>
      <c r="G103" s="27">
        <v>24.4</v>
      </c>
      <c r="H103" s="94">
        <v>1.36</v>
      </c>
      <c r="I103" s="120">
        <v>0.63500000000000001</v>
      </c>
      <c r="J103" s="129">
        <v>2.92E-2</v>
      </c>
      <c r="K103" s="60">
        <v>15.2</v>
      </c>
      <c r="L103" s="96">
        <v>1.47</v>
      </c>
      <c r="M103" s="104">
        <v>0.65959999999999996</v>
      </c>
      <c r="N103" s="116">
        <v>1.38E-2</v>
      </c>
    </row>
    <row r="104" spans="2:14" x14ac:dyDescent="0.35">
      <c r="B104" s="22" t="s">
        <v>18</v>
      </c>
      <c r="C104" s="72">
        <v>27.4</v>
      </c>
      <c r="D104" s="96">
        <v>2.6533000000000002</v>
      </c>
      <c r="E104" s="102">
        <v>0.44240000000000002</v>
      </c>
      <c r="F104" s="110">
        <v>1.35E-2</v>
      </c>
      <c r="G104" s="27">
        <v>32.4</v>
      </c>
      <c r="H104" s="94">
        <v>7.23</v>
      </c>
      <c r="I104" s="120">
        <v>0.78859999999999997</v>
      </c>
      <c r="J104" s="129">
        <v>1.34E-2</v>
      </c>
      <c r="K104" s="60">
        <v>22.4</v>
      </c>
      <c r="L104" s="96">
        <v>3.38</v>
      </c>
      <c r="M104" s="104">
        <v>0.81799999999999995</v>
      </c>
      <c r="N104" s="116">
        <v>1.09E-2</v>
      </c>
    </row>
    <row r="105" spans="2:14" x14ac:dyDescent="0.35">
      <c r="B105" s="22" t="s">
        <v>62</v>
      </c>
      <c r="C105" s="72">
        <v>47.6</v>
      </c>
      <c r="D105" s="96">
        <v>4.8</v>
      </c>
      <c r="E105" s="102">
        <v>0.16070000000000001</v>
      </c>
      <c r="F105" s="110">
        <v>4.5199999999999997E-2</v>
      </c>
      <c r="G105" s="39">
        <v>40</v>
      </c>
      <c r="H105" s="94">
        <v>13.13</v>
      </c>
      <c r="I105" s="118">
        <v>0.97140000000000004</v>
      </c>
      <c r="J105" s="129">
        <v>5.7099999999999998E-2</v>
      </c>
      <c r="K105" s="57">
        <v>50</v>
      </c>
      <c r="L105" s="96">
        <v>0</v>
      </c>
      <c r="M105" s="102">
        <v>0.7571</v>
      </c>
      <c r="N105" s="116">
        <v>0.1666</v>
      </c>
    </row>
    <row r="106" spans="2:14" x14ac:dyDescent="0.35">
      <c r="B106" s="22" t="s">
        <v>14</v>
      </c>
      <c r="C106" s="88">
        <v>24.6</v>
      </c>
      <c r="D106" s="96">
        <v>1.4966999999999999</v>
      </c>
      <c r="E106" s="102">
        <v>0.35749999999999998</v>
      </c>
      <c r="F106" s="136">
        <v>3.3799999999999997E-2</v>
      </c>
      <c r="G106" s="47">
        <v>23</v>
      </c>
      <c r="H106" s="95">
        <v>1.1000000000000001</v>
      </c>
      <c r="I106" s="120">
        <v>0.62990000000000002</v>
      </c>
      <c r="J106" s="129">
        <v>2.5700000000000001E-2</v>
      </c>
      <c r="K106" s="61">
        <v>22.8</v>
      </c>
      <c r="L106" s="100">
        <v>5.78</v>
      </c>
      <c r="M106" s="125">
        <v>0.66759999999999997</v>
      </c>
      <c r="N106" s="116">
        <v>1.6799999999999999E-2</v>
      </c>
    </row>
    <row r="107" spans="2:14" x14ac:dyDescent="0.35">
      <c r="B107" s="74" t="s">
        <v>22</v>
      </c>
      <c r="C107" s="75">
        <f t="shared" ref="C107:N107" si="6">AVERAGE(C85:C106)</f>
        <v>28.227272727272727</v>
      </c>
      <c r="D107" s="93">
        <f t="shared" si="6"/>
        <v>3.5947636363636364</v>
      </c>
      <c r="E107" s="109">
        <f t="shared" si="6"/>
        <v>0.49889545454545453</v>
      </c>
      <c r="F107" s="127">
        <f t="shared" si="6"/>
        <v>2.843181818181818E-2</v>
      </c>
      <c r="G107" s="90">
        <f t="shared" si="6"/>
        <v>23.727272727272727</v>
      </c>
      <c r="H107" s="134">
        <f>AVERAGE(H85:H106)</f>
        <v>3.6536363636363633</v>
      </c>
      <c r="I107" s="109">
        <f t="shared" si="6"/>
        <v>0.7450681818181818</v>
      </c>
      <c r="J107" s="111">
        <f t="shared" si="6"/>
        <v>2.2100000000000002E-2</v>
      </c>
      <c r="K107" s="76">
        <f t="shared" si="6"/>
        <v>20.463636363636365</v>
      </c>
      <c r="L107" s="134">
        <f>AVERAGE(L85:L106)</f>
        <v>2.7581818181818183</v>
      </c>
      <c r="M107" s="114">
        <f t="shared" si="6"/>
        <v>0.76355000000000006</v>
      </c>
      <c r="N107" s="111">
        <f t="shared" si="6"/>
        <v>1.9927272727272731E-2</v>
      </c>
    </row>
    <row r="109" spans="2:14" x14ac:dyDescent="0.35">
      <c r="B109" s="68" t="s">
        <v>56</v>
      </c>
      <c r="C109" s="147" t="s">
        <v>65</v>
      </c>
      <c r="D109" s="147"/>
      <c r="E109" s="147"/>
      <c r="F109" s="147"/>
      <c r="G109" s="147"/>
      <c r="H109" s="147"/>
      <c r="I109" s="147"/>
      <c r="J109" s="147"/>
      <c r="K109" s="141"/>
      <c r="L109" s="141"/>
      <c r="M109" s="141"/>
    </row>
    <row r="110" spans="2:14" x14ac:dyDescent="0.35">
      <c r="B110" s="84" t="s">
        <v>57</v>
      </c>
      <c r="C110" s="144" t="s">
        <v>61</v>
      </c>
      <c r="D110" s="145"/>
      <c r="E110" s="145"/>
      <c r="F110" s="145"/>
      <c r="G110" s="144" t="s">
        <v>58</v>
      </c>
      <c r="H110" s="145"/>
      <c r="I110" s="145"/>
      <c r="J110" s="146"/>
      <c r="K110" s="144" t="s">
        <v>59</v>
      </c>
      <c r="L110" s="145"/>
      <c r="M110" s="145"/>
      <c r="N110" s="145"/>
    </row>
    <row r="111" spans="2:14" x14ac:dyDescent="0.35">
      <c r="B111" s="16" t="s">
        <v>0</v>
      </c>
      <c r="C111" s="149" t="s">
        <v>52</v>
      </c>
      <c r="D111" s="150"/>
      <c r="E111" s="147" t="s">
        <v>53</v>
      </c>
      <c r="F111" s="151"/>
      <c r="G111" s="149" t="s">
        <v>52</v>
      </c>
      <c r="H111" s="150"/>
      <c r="I111" s="141" t="s">
        <v>53</v>
      </c>
      <c r="J111" s="151"/>
      <c r="K111" s="149" t="s">
        <v>52</v>
      </c>
      <c r="L111" s="150"/>
      <c r="M111" s="143" t="s">
        <v>53</v>
      </c>
      <c r="N111" s="143"/>
    </row>
    <row r="112" spans="2:14" x14ac:dyDescent="0.35">
      <c r="B112" s="22" t="s">
        <v>5</v>
      </c>
      <c r="C112" s="86">
        <v>42</v>
      </c>
      <c r="D112" s="96">
        <v>6.1643999999999997</v>
      </c>
      <c r="E112" s="102">
        <v>0.82310000000000005</v>
      </c>
      <c r="F112" s="110">
        <v>1.77E-2</v>
      </c>
      <c r="G112" s="86">
        <v>31.8</v>
      </c>
      <c r="H112" s="96">
        <v>3.6551</v>
      </c>
      <c r="I112" s="132">
        <v>0.88919999999999999</v>
      </c>
      <c r="J112" s="110">
        <v>2.7400000000000001E-2</v>
      </c>
      <c r="K112" s="131">
        <v>28.8</v>
      </c>
      <c r="L112" s="96">
        <v>5.8446999999999996</v>
      </c>
      <c r="M112" s="102">
        <v>0.88780000000000003</v>
      </c>
      <c r="N112" s="110">
        <v>8.2000000000000007E-3</v>
      </c>
    </row>
    <row r="113" spans="2:14" x14ac:dyDescent="0.35">
      <c r="B113" s="22" t="s">
        <v>6</v>
      </c>
      <c r="C113" s="72">
        <v>23</v>
      </c>
      <c r="D113" s="96">
        <v>0.63249999999999995</v>
      </c>
      <c r="E113" s="102">
        <v>0.60429999999999995</v>
      </c>
      <c r="F113" s="110">
        <v>2.1100000000000001E-2</v>
      </c>
      <c r="G113" s="72">
        <v>20.6</v>
      </c>
      <c r="H113" s="96">
        <v>1.8547</v>
      </c>
      <c r="I113" s="104">
        <v>0.72509999999999997</v>
      </c>
      <c r="J113" s="110">
        <v>2.4E-2</v>
      </c>
      <c r="K113" s="71">
        <v>17.399999999999999</v>
      </c>
      <c r="L113" s="96">
        <v>0.4899</v>
      </c>
      <c r="M113" s="102">
        <v>0.69330000000000003</v>
      </c>
      <c r="N113" s="110">
        <v>2.64E-2</v>
      </c>
    </row>
    <row r="114" spans="2:14" x14ac:dyDescent="0.35">
      <c r="B114" s="22" t="s">
        <v>7</v>
      </c>
      <c r="C114" s="72">
        <v>27.8</v>
      </c>
      <c r="D114" s="96">
        <v>2.9933000000000001</v>
      </c>
      <c r="E114" s="102">
        <v>0.61609999999999998</v>
      </c>
      <c r="F114" s="110">
        <v>1.32E-2</v>
      </c>
      <c r="G114" s="72">
        <v>26</v>
      </c>
      <c r="H114" s="96">
        <v>1.4141999999999999</v>
      </c>
      <c r="I114" s="104">
        <v>0.76200000000000001</v>
      </c>
      <c r="J114" s="110">
        <v>1.1900000000000001E-2</v>
      </c>
      <c r="K114" s="71">
        <v>24.2</v>
      </c>
      <c r="L114" s="96">
        <v>1.1661999999999999</v>
      </c>
      <c r="M114" s="102">
        <v>0.74450000000000005</v>
      </c>
      <c r="N114" s="110">
        <v>8.0999999999999996E-3</v>
      </c>
    </row>
    <row r="115" spans="2:14" x14ac:dyDescent="0.35">
      <c r="B115" s="22" t="s">
        <v>27</v>
      </c>
      <c r="C115" s="72">
        <v>25.6</v>
      </c>
      <c r="D115" s="96">
        <v>1.4966999999999999</v>
      </c>
      <c r="E115" s="102">
        <v>0.68579999999999997</v>
      </c>
      <c r="F115" s="110">
        <v>0.02</v>
      </c>
      <c r="G115" s="72">
        <v>25.6</v>
      </c>
      <c r="H115" s="96">
        <v>1.6248</v>
      </c>
      <c r="I115" s="104">
        <v>0.80520000000000003</v>
      </c>
      <c r="J115" s="110">
        <v>9.4000000000000004E-3</v>
      </c>
      <c r="K115" s="71">
        <v>23.6</v>
      </c>
      <c r="L115" s="96">
        <v>2.5768</v>
      </c>
      <c r="M115" s="102">
        <v>0.79330000000000001</v>
      </c>
      <c r="N115" s="110">
        <v>4.5999999999999999E-3</v>
      </c>
    </row>
    <row r="116" spans="2:14" x14ac:dyDescent="0.35">
      <c r="B116" s="22" t="s">
        <v>8</v>
      </c>
      <c r="C116" s="72">
        <v>23.6</v>
      </c>
      <c r="D116" s="96">
        <v>1.3565</v>
      </c>
      <c r="E116" s="102">
        <v>0.59260000000000002</v>
      </c>
      <c r="F116" s="110">
        <v>1.9E-2</v>
      </c>
      <c r="G116" s="72">
        <v>27.2</v>
      </c>
      <c r="H116" s="96">
        <v>1.3266</v>
      </c>
      <c r="I116" s="104">
        <v>0.74560000000000004</v>
      </c>
      <c r="J116" s="110">
        <v>3.2199999999999999E-2</v>
      </c>
      <c r="K116" s="71">
        <v>20</v>
      </c>
      <c r="L116" s="96">
        <v>2.0975999999999999</v>
      </c>
      <c r="M116" s="102">
        <v>0.73109999999999997</v>
      </c>
      <c r="N116" s="110">
        <v>1.8700000000000001E-2</v>
      </c>
    </row>
    <row r="117" spans="2:14" x14ac:dyDescent="0.35">
      <c r="B117" s="22" t="s">
        <v>9</v>
      </c>
      <c r="C117" s="72">
        <v>22</v>
      </c>
      <c r="D117" s="96">
        <v>0.63249999999999995</v>
      </c>
      <c r="E117" s="102">
        <v>0.59099999999999997</v>
      </c>
      <c r="F117" s="110">
        <v>1.38E-2</v>
      </c>
      <c r="G117" s="72">
        <v>21.6</v>
      </c>
      <c r="H117" s="96">
        <v>2.7275999999999998</v>
      </c>
      <c r="I117" s="104">
        <v>0.72889999999999999</v>
      </c>
      <c r="J117" s="110">
        <v>1.72E-2</v>
      </c>
      <c r="K117" s="71">
        <v>17.600000000000001</v>
      </c>
      <c r="L117" s="96">
        <v>2.7275999999999998</v>
      </c>
      <c r="M117" s="102">
        <v>0.71879999999999999</v>
      </c>
      <c r="N117" s="110">
        <v>2.2499999999999999E-2</v>
      </c>
    </row>
    <row r="118" spans="2:14" x14ac:dyDescent="0.35">
      <c r="B118" s="22" t="s">
        <v>28</v>
      </c>
      <c r="C118" s="72">
        <v>27</v>
      </c>
      <c r="D118" s="96">
        <v>3.0331999999999999</v>
      </c>
      <c r="E118" s="102">
        <v>0.56830000000000003</v>
      </c>
      <c r="F118" s="110">
        <v>1.9599999999999999E-2</v>
      </c>
      <c r="G118" s="71">
        <v>31</v>
      </c>
      <c r="H118" s="96">
        <v>3.5777000000000001</v>
      </c>
      <c r="I118" s="102">
        <v>0.7591</v>
      </c>
      <c r="J118" s="110">
        <v>1.11E-2</v>
      </c>
      <c r="K118" s="72">
        <v>31.8</v>
      </c>
      <c r="L118" s="96">
        <v>8.2316000000000003</v>
      </c>
      <c r="M118" s="104">
        <v>0.83140000000000003</v>
      </c>
      <c r="N118" s="110">
        <v>1.26E-2</v>
      </c>
    </row>
    <row r="119" spans="2:14" x14ac:dyDescent="0.35">
      <c r="B119" s="22" t="s">
        <v>10</v>
      </c>
      <c r="C119" s="72">
        <v>23.2</v>
      </c>
      <c r="D119" s="96">
        <v>1.6</v>
      </c>
      <c r="E119" s="102">
        <v>0.59379999999999999</v>
      </c>
      <c r="F119" s="110">
        <v>1.8800000000000001E-2</v>
      </c>
      <c r="G119" s="72">
        <v>22</v>
      </c>
      <c r="H119" s="96">
        <v>3.0331999999999999</v>
      </c>
      <c r="I119" s="104">
        <v>0.74770000000000003</v>
      </c>
      <c r="J119" s="110">
        <v>2.4899999999999999E-2</v>
      </c>
      <c r="K119" s="71">
        <v>19.399999999999999</v>
      </c>
      <c r="L119" s="96">
        <v>2.1541000000000001</v>
      </c>
      <c r="M119" s="102">
        <v>0.73619999999999997</v>
      </c>
      <c r="N119" s="110">
        <v>2.1999999999999999E-2</v>
      </c>
    </row>
    <row r="120" spans="2:14" x14ac:dyDescent="0.35">
      <c r="B120" s="22" t="s">
        <v>23</v>
      </c>
      <c r="C120" s="72">
        <v>31</v>
      </c>
      <c r="D120" s="96">
        <v>1.5491999999999999</v>
      </c>
      <c r="E120" s="102">
        <v>0.67110000000000003</v>
      </c>
      <c r="F120" s="110">
        <v>2.2100000000000002E-2</v>
      </c>
      <c r="G120" s="72">
        <v>33.200000000000003</v>
      </c>
      <c r="H120" s="96">
        <v>5.2687999999999997</v>
      </c>
      <c r="I120" s="102">
        <v>0.82279999999999998</v>
      </c>
      <c r="J120" s="110">
        <v>3.1899999999999998E-2</v>
      </c>
      <c r="K120" s="71">
        <v>26.4</v>
      </c>
      <c r="L120" s="96">
        <v>2.8704999999999998</v>
      </c>
      <c r="M120" s="104">
        <v>0.85229999999999995</v>
      </c>
      <c r="N120" s="110">
        <v>1.89E-2</v>
      </c>
    </row>
    <row r="121" spans="2:14" x14ac:dyDescent="0.35">
      <c r="B121" s="22" t="s">
        <v>29</v>
      </c>
      <c r="C121" s="72">
        <v>32.6</v>
      </c>
      <c r="D121" s="96">
        <v>6.8292999999999999</v>
      </c>
      <c r="E121" s="102">
        <v>0.59799999999999998</v>
      </c>
      <c r="F121" s="110">
        <v>1.18E-2</v>
      </c>
      <c r="G121" s="72">
        <v>41.2</v>
      </c>
      <c r="H121" s="96">
        <v>6.4311999999999996</v>
      </c>
      <c r="I121" s="102">
        <v>0.74990000000000001</v>
      </c>
      <c r="J121" s="110">
        <v>1.83E-2</v>
      </c>
      <c r="K121" s="71">
        <v>25.6</v>
      </c>
      <c r="L121" s="96">
        <v>3.7202000000000002</v>
      </c>
      <c r="M121" s="104">
        <v>0.78859999999999997</v>
      </c>
      <c r="N121" s="110">
        <v>1.4500000000000001E-2</v>
      </c>
    </row>
    <row r="122" spans="2:14" x14ac:dyDescent="0.35">
      <c r="B122" s="22" t="s">
        <v>11</v>
      </c>
      <c r="C122" s="72">
        <v>24.2</v>
      </c>
      <c r="D122" s="96">
        <v>1.1661999999999999</v>
      </c>
      <c r="E122" s="102">
        <v>0.55530000000000002</v>
      </c>
      <c r="F122" s="110">
        <v>1.8100000000000002E-2</v>
      </c>
      <c r="G122" s="71">
        <v>25.4</v>
      </c>
      <c r="H122" s="96">
        <v>1.3565</v>
      </c>
      <c r="I122" s="102">
        <v>0.75139999999999996</v>
      </c>
      <c r="J122" s="110">
        <v>3.2899999999999999E-2</v>
      </c>
      <c r="K122" s="71">
        <v>25.4</v>
      </c>
      <c r="L122" s="96">
        <v>2.6533000000000002</v>
      </c>
      <c r="M122" s="104">
        <v>0.76729999999999998</v>
      </c>
      <c r="N122" s="110">
        <v>6.3E-3</v>
      </c>
    </row>
    <row r="123" spans="2:14" x14ac:dyDescent="0.35">
      <c r="B123" s="22" t="s">
        <v>25</v>
      </c>
      <c r="C123" s="72">
        <v>30</v>
      </c>
      <c r="D123" s="96">
        <v>2</v>
      </c>
      <c r="E123" s="102">
        <v>0.63739999999999997</v>
      </c>
      <c r="F123" s="110">
        <v>2.1299999999999999E-2</v>
      </c>
      <c r="G123" s="71">
        <v>28</v>
      </c>
      <c r="H123" s="96">
        <v>2.4495</v>
      </c>
      <c r="I123" s="102">
        <v>0.81479999999999997</v>
      </c>
      <c r="J123" s="110">
        <v>2.3E-2</v>
      </c>
      <c r="K123" s="72">
        <v>32.200000000000003</v>
      </c>
      <c r="L123" s="96">
        <v>7.5735999999999999</v>
      </c>
      <c r="M123" s="104">
        <v>0.85</v>
      </c>
      <c r="N123" s="110">
        <v>7.4999999999999997E-3</v>
      </c>
    </row>
    <row r="124" spans="2:14" x14ac:dyDescent="0.35">
      <c r="B124" s="22" t="s">
        <v>24</v>
      </c>
      <c r="C124" s="72">
        <v>32.200000000000003</v>
      </c>
      <c r="D124" s="96">
        <v>4.6647999999999996</v>
      </c>
      <c r="E124" s="102">
        <v>0.69379999999999997</v>
      </c>
      <c r="F124" s="110">
        <v>1.9400000000000001E-2</v>
      </c>
      <c r="G124" s="72">
        <v>35</v>
      </c>
      <c r="H124" s="96">
        <v>5.7618999999999998</v>
      </c>
      <c r="I124" s="102">
        <v>0.84450000000000003</v>
      </c>
      <c r="J124" s="110">
        <v>1.32E-2</v>
      </c>
      <c r="K124" s="71">
        <v>25.8</v>
      </c>
      <c r="L124" s="96">
        <v>4.4451999999999998</v>
      </c>
      <c r="M124" s="104">
        <v>0.86419999999999997</v>
      </c>
      <c r="N124" s="110">
        <v>1.4500000000000001E-2</v>
      </c>
    </row>
    <row r="125" spans="2:14" x14ac:dyDescent="0.35">
      <c r="B125" s="22" t="s">
        <v>17</v>
      </c>
      <c r="C125" s="72">
        <v>27.4</v>
      </c>
      <c r="D125" s="96">
        <v>2.5768</v>
      </c>
      <c r="E125" s="102">
        <v>0.60780000000000001</v>
      </c>
      <c r="F125" s="110">
        <v>1.3599999999999999E-2</v>
      </c>
      <c r="G125" s="72">
        <v>25.8</v>
      </c>
      <c r="H125" s="96">
        <v>2.3151999999999999</v>
      </c>
      <c r="I125" s="104">
        <v>0.80249999999999999</v>
      </c>
      <c r="J125" s="110">
        <v>1.17E-2</v>
      </c>
      <c r="K125" s="71">
        <v>24</v>
      </c>
      <c r="L125" s="96">
        <v>1.4141999999999999</v>
      </c>
      <c r="M125" s="102">
        <v>0.79010000000000002</v>
      </c>
      <c r="N125" s="110">
        <v>4.4000000000000003E-3</v>
      </c>
    </row>
    <row r="126" spans="2:14" x14ac:dyDescent="0.35">
      <c r="B126" s="22" t="s">
        <v>12</v>
      </c>
      <c r="C126" s="72">
        <v>27</v>
      </c>
      <c r="D126" s="96">
        <v>1.7888999999999999</v>
      </c>
      <c r="E126" s="102">
        <v>0.51480000000000004</v>
      </c>
      <c r="F126" s="110">
        <v>1.03E-2</v>
      </c>
      <c r="G126" s="71">
        <v>22.8</v>
      </c>
      <c r="H126" s="96">
        <v>2.7856999999999998</v>
      </c>
      <c r="I126" s="102">
        <v>0.7198</v>
      </c>
      <c r="J126" s="110">
        <v>3.04E-2</v>
      </c>
      <c r="K126" s="72">
        <v>23.4</v>
      </c>
      <c r="L126" s="96">
        <v>2.2450000000000001</v>
      </c>
      <c r="M126" s="104">
        <v>0.72470000000000001</v>
      </c>
      <c r="N126" s="110">
        <v>1.0800000000000001E-2</v>
      </c>
    </row>
    <row r="127" spans="2:14" x14ac:dyDescent="0.35">
      <c r="B127" s="22" t="s">
        <v>19</v>
      </c>
      <c r="C127" s="72">
        <v>29.2</v>
      </c>
      <c r="D127" s="96">
        <v>2.9257</v>
      </c>
      <c r="E127" s="102">
        <v>0.69</v>
      </c>
      <c r="F127" s="110">
        <v>1.7500000000000002E-2</v>
      </c>
      <c r="G127" s="72">
        <v>29.4</v>
      </c>
      <c r="H127" s="96">
        <v>8.5463000000000005</v>
      </c>
      <c r="I127" s="104">
        <v>0.83960000000000001</v>
      </c>
      <c r="J127" s="110">
        <v>6.8999999999999999E-3</v>
      </c>
      <c r="K127" s="71">
        <v>24.6</v>
      </c>
      <c r="L127" s="96">
        <v>3.0066999999999999</v>
      </c>
      <c r="M127" s="102">
        <v>0.83409999999999995</v>
      </c>
      <c r="N127" s="110">
        <v>5.3E-3</v>
      </c>
    </row>
    <row r="128" spans="2:14" x14ac:dyDescent="0.35">
      <c r="B128" s="22" t="s">
        <v>26</v>
      </c>
      <c r="C128" s="72">
        <v>26.8</v>
      </c>
      <c r="D128" s="96">
        <v>3.1875</v>
      </c>
      <c r="E128" s="102">
        <v>0.51870000000000005</v>
      </c>
      <c r="F128" s="110">
        <v>1.8100000000000002E-2</v>
      </c>
      <c r="G128" s="72">
        <v>24.8</v>
      </c>
      <c r="H128" s="96">
        <v>3.3106</v>
      </c>
      <c r="I128" s="104">
        <v>0.74970000000000003</v>
      </c>
      <c r="J128" s="110">
        <v>2.4299999999999999E-2</v>
      </c>
      <c r="K128" s="71">
        <v>20.399999999999999</v>
      </c>
      <c r="L128" s="96">
        <v>5.0833000000000004</v>
      </c>
      <c r="M128" s="102">
        <v>0.74580000000000002</v>
      </c>
      <c r="N128" s="110">
        <v>3.7999999999999999E-2</v>
      </c>
    </row>
    <row r="129" spans="2:14" x14ac:dyDescent="0.35">
      <c r="B129" s="22" t="s">
        <v>13</v>
      </c>
      <c r="C129" s="72">
        <v>23.8</v>
      </c>
      <c r="D129" s="96">
        <v>1.6</v>
      </c>
      <c r="E129" s="102">
        <v>0.46960000000000002</v>
      </c>
      <c r="F129" s="110">
        <v>2.0500000000000001E-2</v>
      </c>
      <c r="G129" s="72">
        <v>21.2</v>
      </c>
      <c r="H129" s="96">
        <v>2.4</v>
      </c>
      <c r="I129" s="104">
        <v>0.63170000000000004</v>
      </c>
      <c r="J129" s="110">
        <v>2.8799999999999999E-2</v>
      </c>
      <c r="K129" s="71">
        <v>20</v>
      </c>
      <c r="L129" s="96">
        <v>1.7888999999999999</v>
      </c>
      <c r="M129" s="102">
        <v>0.62529999999999997</v>
      </c>
      <c r="N129" s="110">
        <v>1.2699999999999999E-2</v>
      </c>
    </row>
    <row r="130" spans="2:14" x14ac:dyDescent="0.35">
      <c r="B130" s="22" t="s">
        <v>20</v>
      </c>
      <c r="C130" s="72">
        <v>27.2</v>
      </c>
      <c r="D130" s="96">
        <v>2.7128999999999999</v>
      </c>
      <c r="E130" s="102">
        <v>0.4773</v>
      </c>
      <c r="F130" s="110">
        <v>2.4899999999999999E-2</v>
      </c>
      <c r="G130" s="72">
        <v>25</v>
      </c>
      <c r="H130" s="96">
        <v>2.4495</v>
      </c>
      <c r="I130" s="104">
        <v>0.66249999999999998</v>
      </c>
      <c r="J130" s="110">
        <v>2.1700000000000001E-2</v>
      </c>
      <c r="K130" s="71">
        <v>22.2</v>
      </c>
      <c r="L130" s="96">
        <v>1.9391</v>
      </c>
      <c r="M130" s="102">
        <v>0.66039999999999999</v>
      </c>
      <c r="N130" s="110">
        <v>1.09E-2</v>
      </c>
    </row>
    <row r="131" spans="2:14" x14ac:dyDescent="0.35">
      <c r="B131" s="22" t="s">
        <v>18</v>
      </c>
      <c r="C131" s="72">
        <v>23</v>
      </c>
      <c r="D131" s="96">
        <v>1.6733</v>
      </c>
      <c r="E131" s="102">
        <v>0.53220000000000001</v>
      </c>
      <c r="F131" s="110">
        <v>1.6500000000000001E-2</v>
      </c>
      <c r="G131" s="72">
        <v>34.200000000000003</v>
      </c>
      <c r="H131" s="96">
        <v>8.7727000000000004</v>
      </c>
      <c r="I131" s="102">
        <v>0.80469999999999997</v>
      </c>
      <c r="J131" s="110">
        <v>1.7000000000000001E-2</v>
      </c>
      <c r="K131" s="71">
        <v>33.200000000000003</v>
      </c>
      <c r="L131" s="96">
        <v>8.9755000000000003</v>
      </c>
      <c r="M131" s="104">
        <v>0.80589999999999995</v>
      </c>
      <c r="N131" s="110">
        <v>1.4999999999999999E-2</v>
      </c>
    </row>
    <row r="132" spans="2:14" x14ac:dyDescent="0.35">
      <c r="B132" s="22" t="s">
        <v>62</v>
      </c>
      <c r="C132" s="72">
        <v>29.8</v>
      </c>
      <c r="D132" s="96">
        <v>16.702100000000002</v>
      </c>
      <c r="E132" s="102">
        <v>0.3286</v>
      </c>
      <c r="F132" s="110">
        <v>0.21390000000000001</v>
      </c>
      <c r="G132" s="71">
        <v>15.6</v>
      </c>
      <c r="H132" s="96">
        <v>1.7436</v>
      </c>
      <c r="I132" s="104">
        <v>1</v>
      </c>
      <c r="J132" s="110">
        <v>0</v>
      </c>
      <c r="K132" s="72">
        <v>27.8</v>
      </c>
      <c r="L132" s="96">
        <v>6.5237999999999996</v>
      </c>
      <c r="M132" s="102">
        <v>0.94640000000000002</v>
      </c>
      <c r="N132" s="110">
        <v>6.59E-2</v>
      </c>
    </row>
    <row r="133" spans="2:14" x14ac:dyDescent="0.35">
      <c r="B133" s="22" t="s">
        <v>14</v>
      </c>
      <c r="C133" s="88">
        <v>22.2</v>
      </c>
      <c r="D133" s="96">
        <v>1.7204999999999999</v>
      </c>
      <c r="E133" s="102">
        <v>0.45739999999999997</v>
      </c>
      <c r="F133" s="110">
        <v>2.8299999999999999E-2</v>
      </c>
      <c r="G133" s="71">
        <v>23.4</v>
      </c>
      <c r="H133" s="96">
        <v>2.8704999999999998</v>
      </c>
      <c r="I133" s="102">
        <v>0.68100000000000005</v>
      </c>
      <c r="J133" s="110">
        <v>2.52E-2</v>
      </c>
      <c r="K133" s="88">
        <v>25.4</v>
      </c>
      <c r="L133" s="96">
        <v>5.1614000000000004</v>
      </c>
      <c r="M133" s="104">
        <v>0.68620000000000003</v>
      </c>
      <c r="N133" s="110">
        <v>1.7399999999999999E-2</v>
      </c>
    </row>
    <row r="134" spans="2:14" x14ac:dyDescent="0.35">
      <c r="B134" s="74" t="s">
        <v>22</v>
      </c>
      <c r="C134" s="75">
        <f t="shared" ref="C134:D134" si="7">AVERAGE(C112:C133)</f>
        <v>27.3</v>
      </c>
      <c r="D134" s="93">
        <f t="shared" si="7"/>
        <v>3.1366499999999999</v>
      </c>
      <c r="E134" s="109">
        <f t="shared" ref="E134:F134" si="8">AVERAGE(E112:E133)</f>
        <v>0.58304545454545442</v>
      </c>
      <c r="F134" s="111">
        <f t="shared" si="8"/>
        <v>2.725E-2</v>
      </c>
      <c r="G134" s="75">
        <f t="shared" ref="G134" si="9">AVERAGE(G112:G133)</f>
        <v>26.854545454545452</v>
      </c>
      <c r="H134" s="101">
        <f>AVERAGE(H112:H133)</f>
        <v>3.4398136363636356</v>
      </c>
      <c r="I134" s="109">
        <f t="shared" ref="I134:N134" si="10">AVERAGE(I112:I133)</f>
        <v>0.77444090909090935</v>
      </c>
      <c r="J134" s="111">
        <f t="shared" si="10"/>
        <v>2.0154545454545456E-2</v>
      </c>
      <c r="K134" s="76">
        <f t="shared" si="10"/>
        <v>24.509090909090904</v>
      </c>
      <c r="L134" s="101">
        <f>AVERAGE(L112:L133)</f>
        <v>3.7585999999999999</v>
      </c>
      <c r="M134" s="114">
        <f t="shared" si="10"/>
        <v>0.77625909090909073</v>
      </c>
      <c r="N134" s="111">
        <f t="shared" si="10"/>
        <v>1.6600000000000004E-2</v>
      </c>
    </row>
  </sheetData>
  <mergeCells count="49">
    <mergeCell ref="G111:H111"/>
    <mergeCell ref="C82:M82"/>
    <mergeCell ref="K110:N110"/>
    <mergeCell ref="K111:L111"/>
    <mergeCell ref="M111:N111"/>
    <mergeCell ref="I84:J84"/>
    <mergeCell ref="C110:F110"/>
    <mergeCell ref="C111:D111"/>
    <mergeCell ref="E111:F111"/>
    <mergeCell ref="C56:F56"/>
    <mergeCell ref="G56:J56"/>
    <mergeCell ref="K56:N56"/>
    <mergeCell ref="K57:L57"/>
    <mergeCell ref="M57:N57"/>
    <mergeCell ref="I57:J57"/>
    <mergeCell ref="E57:F57"/>
    <mergeCell ref="C57:D57"/>
    <mergeCell ref="K30:L30"/>
    <mergeCell ref="I111:J111"/>
    <mergeCell ref="G110:J110"/>
    <mergeCell ref="C109:M109"/>
    <mergeCell ref="E3:F3"/>
    <mergeCell ref="C3:D3"/>
    <mergeCell ref="M3:N3"/>
    <mergeCell ref="K3:L3"/>
    <mergeCell ref="G3:H3"/>
    <mergeCell ref="I3:J3"/>
    <mergeCell ref="G84:H84"/>
    <mergeCell ref="K84:L84"/>
    <mergeCell ref="M84:N84"/>
    <mergeCell ref="C84:D84"/>
    <mergeCell ref="E84:F84"/>
    <mergeCell ref="C83:F83"/>
    <mergeCell ref="M30:N30"/>
    <mergeCell ref="G83:J83"/>
    <mergeCell ref="K83:N83"/>
    <mergeCell ref="C1:M1"/>
    <mergeCell ref="G2:J2"/>
    <mergeCell ref="K2:N2"/>
    <mergeCell ref="C2:F2"/>
    <mergeCell ref="C55:M55"/>
    <mergeCell ref="G30:H30"/>
    <mergeCell ref="C28:M28"/>
    <mergeCell ref="C29:F29"/>
    <mergeCell ref="G29:J29"/>
    <mergeCell ref="K29:N29"/>
    <mergeCell ref="C30:D30"/>
    <mergeCell ref="E30:F30"/>
    <mergeCell ref="I30:J30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204D-B125-4EB2-8006-68788CE54501}">
  <dimension ref="B1:M53"/>
  <sheetViews>
    <sheetView workbookViewId="0">
      <selection activeCell="H38" sqref="H38"/>
    </sheetView>
  </sheetViews>
  <sheetFormatPr defaultRowHeight="14.5" x14ac:dyDescent="0.35"/>
  <cols>
    <col min="2" max="2" width="20.26953125" customWidth="1"/>
  </cols>
  <sheetData>
    <row r="1" spans="2:13" x14ac:dyDescent="0.35">
      <c r="B1" s="68" t="s">
        <v>56</v>
      </c>
      <c r="C1" s="147" t="s">
        <v>65</v>
      </c>
      <c r="D1" s="147"/>
      <c r="E1" s="147"/>
      <c r="F1" s="147"/>
      <c r="G1" s="147"/>
      <c r="H1" s="147"/>
      <c r="I1" s="147"/>
      <c r="J1" s="147"/>
      <c r="K1" s="130"/>
      <c r="L1" s="130"/>
      <c r="M1" s="130"/>
    </row>
    <row r="2" spans="2:13" x14ac:dyDescent="0.35">
      <c r="B2" s="84" t="s">
        <v>57</v>
      </c>
      <c r="C2" s="144" t="s">
        <v>76</v>
      </c>
      <c r="D2" s="145"/>
      <c r="E2" s="145"/>
      <c r="F2" s="146"/>
      <c r="G2" s="144" t="s">
        <v>77</v>
      </c>
      <c r="H2" s="145"/>
      <c r="I2" s="145"/>
      <c r="J2" s="145"/>
    </row>
    <row r="3" spans="2:13" x14ac:dyDescent="0.35">
      <c r="B3" s="16" t="s">
        <v>0</v>
      </c>
      <c r="C3" s="149" t="s">
        <v>52</v>
      </c>
      <c r="D3" s="150"/>
      <c r="E3" s="141" t="s">
        <v>53</v>
      </c>
      <c r="F3" s="151"/>
      <c r="G3" s="149" t="s">
        <v>52</v>
      </c>
      <c r="H3" s="150"/>
      <c r="I3" s="143" t="s">
        <v>53</v>
      </c>
      <c r="J3" s="143"/>
    </row>
    <row r="4" spans="2:13" x14ac:dyDescent="0.35">
      <c r="B4" s="22" t="s">
        <v>5</v>
      </c>
      <c r="C4" s="131">
        <v>31.8</v>
      </c>
      <c r="D4" s="96">
        <v>3.6551</v>
      </c>
      <c r="E4" s="132">
        <v>0.88919999999999999</v>
      </c>
      <c r="F4" s="110">
        <v>2.7400000000000001E-2</v>
      </c>
      <c r="G4" s="86">
        <v>39.200000000000003</v>
      </c>
      <c r="H4" s="57">
        <v>4.5781999999999998</v>
      </c>
      <c r="I4" s="102">
        <v>0.85709999999999997</v>
      </c>
      <c r="J4" s="110">
        <v>1.8800000000000001E-2</v>
      </c>
    </row>
    <row r="5" spans="2:13" x14ac:dyDescent="0.35">
      <c r="B5" s="22" t="s">
        <v>6</v>
      </c>
      <c r="C5" s="71">
        <v>20.6</v>
      </c>
      <c r="D5" s="96">
        <v>1.8547</v>
      </c>
      <c r="E5" s="104">
        <v>0.72509999999999997</v>
      </c>
      <c r="F5" s="110">
        <v>2.4E-2</v>
      </c>
      <c r="G5" s="72">
        <v>23.8</v>
      </c>
      <c r="H5" s="57">
        <v>2.1354000000000002</v>
      </c>
      <c r="I5" s="102">
        <v>0.71399999999999997</v>
      </c>
      <c r="J5" s="110">
        <v>0.01</v>
      </c>
    </row>
    <row r="6" spans="2:13" x14ac:dyDescent="0.35">
      <c r="B6" s="22" t="s">
        <v>7</v>
      </c>
      <c r="C6" s="71">
        <v>26</v>
      </c>
      <c r="D6" s="96">
        <v>1.4141999999999999</v>
      </c>
      <c r="E6" s="104">
        <v>0.76200000000000001</v>
      </c>
      <c r="F6" s="110">
        <v>1.1900000000000001E-2</v>
      </c>
      <c r="G6" s="72">
        <v>27.2</v>
      </c>
      <c r="H6" s="57">
        <v>2.0396000000000001</v>
      </c>
      <c r="I6" s="102">
        <v>0.74080000000000001</v>
      </c>
      <c r="J6" s="110">
        <v>1.11E-2</v>
      </c>
    </row>
    <row r="7" spans="2:13" x14ac:dyDescent="0.35">
      <c r="B7" s="22" t="s">
        <v>27</v>
      </c>
      <c r="C7" s="71">
        <v>25.6</v>
      </c>
      <c r="D7" s="96">
        <v>1.6248</v>
      </c>
      <c r="E7" s="104">
        <v>0.80520000000000003</v>
      </c>
      <c r="F7" s="110">
        <v>9.4000000000000004E-3</v>
      </c>
      <c r="G7" s="72">
        <v>32</v>
      </c>
      <c r="H7" s="57">
        <v>1.6733</v>
      </c>
      <c r="I7" s="102">
        <v>0.79500000000000004</v>
      </c>
      <c r="J7" s="110">
        <v>9.1999999999999998E-3</v>
      </c>
    </row>
    <row r="8" spans="2:13" x14ac:dyDescent="0.35">
      <c r="B8" s="22" t="s">
        <v>8</v>
      </c>
      <c r="C8" s="72">
        <v>27.2</v>
      </c>
      <c r="D8" s="96">
        <v>1.3266</v>
      </c>
      <c r="E8" s="104">
        <v>0.74560000000000004</v>
      </c>
      <c r="F8" s="110">
        <v>3.2199999999999999E-2</v>
      </c>
      <c r="G8" s="72">
        <v>25.6</v>
      </c>
      <c r="H8" s="57">
        <v>2.4165999999999999</v>
      </c>
      <c r="I8" s="102">
        <v>0.72850000000000004</v>
      </c>
      <c r="J8" s="110">
        <v>2.07E-2</v>
      </c>
    </row>
    <row r="9" spans="2:13" x14ac:dyDescent="0.35">
      <c r="B9" s="22" t="s">
        <v>9</v>
      </c>
      <c r="C9" s="71">
        <v>21.6</v>
      </c>
      <c r="D9" s="96">
        <v>2.7275999999999998</v>
      </c>
      <c r="E9" s="102">
        <v>0.72889999999999999</v>
      </c>
      <c r="F9" s="110">
        <v>1.72E-2</v>
      </c>
      <c r="G9" s="72">
        <v>25</v>
      </c>
      <c r="H9" s="57">
        <v>1.0953999999999999</v>
      </c>
      <c r="I9" s="104">
        <v>0.73029999999999995</v>
      </c>
      <c r="J9" s="110">
        <v>6.1999999999999998E-3</v>
      </c>
    </row>
    <row r="10" spans="2:13" x14ac:dyDescent="0.35">
      <c r="B10" s="22" t="s">
        <v>28</v>
      </c>
      <c r="C10" s="72">
        <v>31</v>
      </c>
      <c r="D10" s="96">
        <v>3.5777000000000001</v>
      </c>
      <c r="E10" s="104">
        <v>0.7591</v>
      </c>
      <c r="F10" s="110">
        <v>1.11E-2</v>
      </c>
      <c r="G10" s="71">
        <v>25.2</v>
      </c>
      <c r="H10" s="57">
        <v>2.9257</v>
      </c>
      <c r="I10" s="102">
        <v>0.68189999999999995</v>
      </c>
      <c r="J10" s="110">
        <v>4.0399999999999998E-2</v>
      </c>
    </row>
    <row r="11" spans="2:13" x14ac:dyDescent="0.35">
      <c r="B11" s="22" t="s">
        <v>10</v>
      </c>
      <c r="C11" s="71">
        <v>22</v>
      </c>
      <c r="D11" s="96">
        <v>3.0331999999999999</v>
      </c>
      <c r="E11" s="104">
        <v>0.74770000000000003</v>
      </c>
      <c r="F11" s="110">
        <v>2.4899999999999999E-2</v>
      </c>
      <c r="G11" s="72">
        <v>24</v>
      </c>
      <c r="H11" s="57">
        <v>1.6733</v>
      </c>
      <c r="I11" s="102">
        <v>0.67749999999999999</v>
      </c>
      <c r="J11" s="110">
        <v>2.1399999999999999E-2</v>
      </c>
    </row>
    <row r="12" spans="2:13" x14ac:dyDescent="0.35">
      <c r="B12" s="22" t="s">
        <v>23</v>
      </c>
      <c r="C12" s="71">
        <v>33.200000000000003</v>
      </c>
      <c r="D12" s="96">
        <v>5.2687999999999997</v>
      </c>
      <c r="E12" s="104">
        <v>0.82279999999999998</v>
      </c>
      <c r="F12" s="110">
        <v>3.1899999999999998E-2</v>
      </c>
      <c r="G12" s="72">
        <v>40.200000000000003</v>
      </c>
      <c r="H12" s="57">
        <v>12.106199999999999</v>
      </c>
      <c r="I12" s="102">
        <v>0.78739999999999999</v>
      </c>
      <c r="J12" s="110">
        <v>1.15E-2</v>
      </c>
    </row>
    <row r="13" spans="2:13" x14ac:dyDescent="0.35">
      <c r="B13" s="22" t="s">
        <v>29</v>
      </c>
      <c r="C13" s="72">
        <v>41.2</v>
      </c>
      <c r="D13" s="96">
        <v>6.4311999999999996</v>
      </c>
      <c r="E13" s="104">
        <v>0.74990000000000001</v>
      </c>
      <c r="F13" s="110">
        <v>1.83E-2</v>
      </c>
      <c r="G13" s="71">
        <v>38.200000000000003</v>
      </c>
      <c r="H13" s="57">
        <v>7.4672999999999998</v>
      </c>
      <c r="I13" s="102">
        <v>0.66839999999999999</v>
      </c>
      <c r="J13" s="110">
        <v>2.8299999999999999E-2</v>
      </c>
    </row>
    <row r="14" spans="2:13" x14ac:dyDescent="0.35">
      <c r="B14" s="22" t="s">
        <v>11</v>
      </c>
      <c r="C14" s="72">
        <v>25.4</v>
      </c>
      <c r="D14" s="96">
        <v>1.3565</v>
      </c>
      <c r="E14" s="104">
        <v>0.75139999999999996</v>
      </c>
      <c r="F14" s="110">
        <v>3.2899999999999999E-2</v>
      </c>
      <c r="G14" s="71">
        <v>24.2</v>
      </c>
      <c r="H14" s="57">
        <v>3.3106</v>
      </c>
      <c r="I14" s="102">
        <v>0.68640000000000001</v>
      </c>
      <c r="J14" s="110">
        <v>1.04E-2</v>
      </c>
    </row>
    <row r="15" spans="2:13" x14ac:dyDescent="0.35">
      <c r="B15" s="22" t="s">
        <v>25</v>
      </c>
      <c r="C15" s="71">
        <v>28</v>
      </c>
      <c r="D15" s="96">
        <v>2.4495</v>
      </c>
      <c r="E15" s="104">
        <v>0.81479999999999997</v>
      </c>
      <c r="F15" s="110">
        <v>2.3E-2</v>
      </c>
      <c r="G15" s="72">
        <v>33.6</v>
      </c>
      <c r="H15" s="57">
        <v>6.9741999999999997</v>
      </c>
      <c r="I15" s="102">
        <v>0.77129999999999999</v>
      </c>
      <c r="J15" s="110">
        <v>1.3599999999999999E-2</v>
      </c>
    </row>
    <row r="16" spans="2:13" x14ac:dyDescent="0.35">
      <c r="B16" s="22" t="s">
        <v>24</v>
      </c>
      <c r="C16" s="71">
        <v>35</v>
      </c>
      <c r="D16" s="96">
        <v>5.7618999999999998</v>
      </c>
      <c r="E16" s="104">
        <v>0.84450000000000003</v>
      </c>
      <c r="F16" s="110">
        <v>1.32E-2</v>
      </c>
      <c r="G16" s="72">
        <v>38.799999999999997</v>
      </c>
      <c r="H16" s="57">
        <v>9.02</v>
      </c>
      <c r="I16" s="102">
        <v>0.75529999999999997</v>
      </c>
      <c r="J16" s="110">
        <v>2.0500000000000001E-2</v>
      </c>
    </row>
    <row r="17" spans="2:10" x14ac:dyDescent="0.35">
      <c r="B17" s="22" t="s">
        <v>17</v>
      </c>
      <c r="C17" s="71">
        <v>25.8</v>
      </c>
      <c r="D17" s="96">
        <v>2.3151999999999999</v>
      </c>
      <c r="E17" s="104">
        <v>0.80249999999999999</v>
      </c>
      <c r="F17" s="110">
        <v>1.17E-2</v>
      </c>
      <c r="G17" s="72">
        <v>28.4</v>
      </c>
      <c r="H17" s="57">
        <v>3.4986000000000002</v>
      </c>
      <c r="I17" s="102">
        <v>0.75780000000000003</v>
      </c>
      <c r="J17" s="110">
        <v>1.12E-2</v>
      </c>
    </row>
    <row r="18" spans="2:10" x14ac:dyDescent="0.35">
      <c r="B18" s="22" t="s">
        <v>12</v>
      </c>
      <c r="C18" s="71">
        <v>22.8</v>
      </c>
      <c r="D18" s="96">
        <v>2.7856999999999998</v>
      </c>
      <c r="E18" s="104">
        <v>0.7198</v>
      </c>
      <c r="F18" s="110">
        <v>3.04E-2</v>
      </c>
      <c r="G18" s="72">
        <v>24.4</v>
      </c>
      <c r="H18" s="57">
        <v>3.8262</v>
      </c>
      <c r="I18" s="102">
        <v>0.64419999999999999</v>
      </c>
      <c r="J18" s="110">
        <v>1.46E-2</v>
      </c>
    </row>
    <row r="19" spans="2:10" x14ac:dyDescent="0.35">
      <c r="B19" s="22" t="s">
        <v>19</v>
      </c>
      <c r="C19" s="71">
        <v>29.4</v>
      </c>
      <c r="D19" s="96">
        <v>8.5463000000000005</v>
      </c>
      <c r="E19" s="104">
        <v>0.83960000000000001</v>
      </c>
      <c r="F19" s="110">
        <v>6.8999999999999999E-3</v>
      </c>
      <c r="G19" s="72">
        <v>31.6</v>
      </c>
      <c r="H19" s="57">
        <v>2.2450000000000001</v>
      </c>
      <c r="I19" s="102">
        <v>0.81620000000000004</v>
      </c>
      <c r="J19" s="110">
        <v>1.1299999999999999E-2</v>
      </c>
    </row>
    <row r="20" spans="2:10" x14ac:dyDescent="0.35">
      <c r="B20" s="22" t="s">
        <v>26</v>
      </c>
      <c r="C20" s="71">
        <v>24.8</v>
      </c>
      <c r="D20" s="96">
        <v>3.3106</v>
      </c>
      <c r="E20" s="104">
        <v>0.74970000000000003</v>
      </c>
      <c r="F20" s="110">
        <v>2.4299999999999999E-2</v>
      </c>
      <c r="G20" s="72">
        <v>27.6</v>
      </c>
      <c r="H20" s="57">
        <v>5.9531999999999998</v>
      </c>
      <c r="I20" s="102">
        <v>0.73160000000000003</v>
      </c>
      <c r="J20" s="110">
        <v>2.9000000000000001E-2</v>
      </c>
    </row>
    <row r="21" spans="2:10" x14ac:dyDescent="0.35">
      <c r="B21" s="22" t="s">
        <v>13</v>
      </c>
      <c r="C21" s="71">
        <v>21.2</v>
      </c>
      <c r="D21" s="96">
        <v>2.4</v>
      </c>
      <c r="E21" s="104">
        <v>0.63170000000000004</v>
      </c>
      <c r="F21" s="110">
        <v>2.8799999999999999E-2</v>
      </c>
      <c r="G21" s="72">
        <v>23.2</v>
      </c>
      <c r="H21" s="57">
        <v>5.4917999999999996</v>
      </c>
      <c r="I21" s="102">
        <v>0.59319999999999995</v>
      </c>
      <c r="J21" s="110">
        <v>2.3300000000000001E-2</v>
      </c>
    </row>
    <row r="22" spans="2:10" x14ac:dyDescent="0.35">
      <c r="B22" s="22" t="s">
        <v>20</v>
      </c>
      <c r="C22" s="72">
        <v>25</v>
      </c>
      <c r="D22" s="96">
        <v>2.4495</v>
      </c>
      <c r="E22" s="104">
        <v>0.66249999999999998</v>
      </c>
      <c r="F22" s="110">
        <v>2.1700000000000001E-2</v>
      </c>
      <c r="G22" s="71">
        <v>24.4</v>
      </c>
      <c r="H22" s="57">
        <v>3.3822999999999999</v>
      </c>
      <c r="I22" s="102">
        <v>0.63039999999999996</v>
      </c>
      <c r="J22" s="110">
        <v>1.7600000000000001E-2</v>
      </c>
    </row>
    <row r="23" spans="2:10" x14ac:dyDescent="0.35">
      <c r="B23" s="22" t="s">
        <v>18</v>
      </c>
      <c r="C23" s="71">
        <v>34.200000000000003</v>
      </c>
      <c r="D23" s="96">
        <v>8.7727000000000004</v>
      </c>
      <c r="E23" s="104">
        <v>0.80469999999999997</v>
      </c>
      <c r="F23" s="110">
        <v>1.7000000000000001E-2</v>
      </c>
      <c r="G23" s="72">
        <v>34.4</v>
      </c>
      <c r="H23" s="57">
        <v>3.2</v>
      </c>
      <c r="I23" s="102">
        <v>0.77539999999999998</v>
      </c>
      <c r="J23" s="110">
        <v>2.0899999999999998E-2</v>
      </c>
    </row>
    <row r="24" spans="2:10" x14ac:dyDescent="0.35">
      <c r="B24" s="22" t="s">
        <v>62</v>
      </c>
      <c r="C24" s="71">
        <v>15.6</v>
      </c>
      <c r="D24" s="96">
        <v>1.7436</v>
      </c>
      <c r="E24" s="104">
        <v>1</v>
      </c>
      <c r="F24" s="110">
        <v>0</v>
      </c>
      <c r="G24" s="72">
        <v>19.399999999999999</v>
      </c>
      <c r="H24" s="57">
        <v>1.8547</v>
      </c>
      <c r="I24" s="102">
        <v>0.97499999999999998</v>
      </c>
      <c r="J24" s="110">
        <v>0.05</v>
      </c>
    </row>
    <row r="25" spans="2:10" x14ac:dyDescent="0.35">
      <c r="B25" s="22" t="s">
        <v>14</v>
      </c>
      <c r="C25" s="71">
        <v>23.4</v>
      </c>
      <c r="D25" s="96">
        <v>2.8704999999999998</v>
      </c>
      <c r="E25" s="104">
        <v>0.68100000000000005</v>
      </c>
      <c r="F25" s="110">
        <v>2.52E-2</v>
      </c>
      <c r="G25" s="72">
        <v>31.6</v>
      </c>
      <c r="H25" s="57">
        <v>4.5869</v>
      </c>
      <c r="I25" s="102">
        <v>0.64470000000000005</v>
      </c>
      <c r="J25" s="110">
        <v>1.9800000000000002E-2</v>
      </c>
    </row>
    <row r="26" spans="2:10" x14ac:dyDescent="0.35">
      <c r="B26" s="74" t="s">
        <v>22</v>
      </c>
      <c r="C26" s="76">
        <f t="shared" ref="C26" si="0">AVERAGE(C4:C25)</f>
        <v>26.854545454545452</v>
      </c>
      <c r="D26" s="134">
        <f>AVERAGE(D4:D25)</f>
        <v>3.4398136363636356</v>
      </c>
      <c r="E26" s="114">
        <f t="shared" ref="E26:J26" si="1">AVERAGE(E4:E25)</f>
        <v>0.77444090909090935</v>
      </c>
      <c r="F26" s="111">
        <f t="shared" si="1"/>
        <v>2.0154545454545456E-2</v>
      </c>
      <c r="G26" s="75">
        <f t="shared" si="1"/>
        <v>29.181818181818183</v>
      </c>
      <c r="H26" s="134">
        <f>AVERAGE(H4:H25)</f>
        <v>4.1570227272727269</v>
      </c>
      <c r="I26" s="109">
        <f t="shared" si="1"/>
        <v>0.73465454545454534</v>
      </c>
      <c r="J26" s="111">
        <f t="shared" si="1"/>
        <v>1.9081818181818179E-2</v>
      </c>
    </row>
    <row r="28" spans="2:10" x14ac:dyDescent="0.35">
      <c r="B28" s="68" t="s">
        <v>56</v>
      </c>
      <c r="C28" s="147" t="s">
        <v>75</v>
      </c>
      <c r="D28" s="147"/>
      <c r="E28" s="147"/>
      <c r="F28" s="147"/>
      <c r="G28" s="147"/>
      <c r="H28" s="147"/>
      <c r="I28" s="147"/>
      <c r="J28" s="147"/>
    </row>
    <row r="29" spans="2:10" x14ac:dyDescent="0.35">
      <c r="B29" s="84" t="s">
        <v>57</v>
      </c>
      <c r="C29" s="144" t="s">
        <v>76</v>
      </c>
      <c r="D29" s="145"/>
      <c r="E29" s="145"/>
      <c r="F29" s="146"/>
      <c r="G29" s="144" t="s">
        <v>77</v>
      </c>
      <c r="H29" s="145"/>
      <c r="I29" s="145"/>
      <c r="J29" s="145"/>
    </row>
    <row r="30" spans="2:10" x14ac:dyDescent="0.35">
      <c r="B30" s="16" t="s">
        <v>0</v>
      </c>
      <c r="C30" s="149" t="s">
        <v>52</v>
      </c>
      <c r="D30" s="150"/>
      <c r="E30" s="141" t="s">
        <v>53</v>
      </c>
      <c r="F30" s="151"/>
      <c r="G30" s="149" t="s">
        <v>52</v>
      </c>
      <c r="H30" s="150"/>
      <c r="I30" s="143" t="s">
        <v>53</v>
      </c>
      <c r="J30" s="143"/>
    </row>
    <row r="31" spans="2:10" x14ac:dyDescent="0.35">
      <c r="B31" s="22" t="s">
        <v>5</v>
      </c>
      <c r="C31" s="131">
        <v>23.6</v>
      </c>
      <c r="D31" s="96">
        <v>1.4966999999999999</v>
      </c>
      <c r="E31" s="132">
        <v>0.89059999999999995</v>
      </c>
      <c r="F31" s="110">
        <v>5.3E-3</v>
      </c>
      <c r="G31" s="86">
        <v>28</v>
      </c>
      <c r="H31" s="96">
        <v>0.89439999999999997</v>
      </c>
      <c r="I31" s="102">
        <v>0.84119999999999995</v>
      </c>
      <c r="J31" s="110">
        <v>1.3599999999999999E-2</v>
      </c>
    </row>
    <row r="32" spans="2:10" x14ac:dyDescent="0.35">
      <c r="B32" s="22" t="s">
        <v>6</v>
      </c>
      <c r="C32" s="71">
        <v>23</v>
      </c>
      <c r="D32" s="96">
        <v>3.9497</v>
      </c>
      <c r="E32" s="104">
        <v>0.70040000000000002</v>
      </c>
      <c r="F32" s="110">
        <v>1.9099999999999999E-2</v>
      </c>
      <c r="G32" s="72">
        <v>28.6</v>
      </c>
      <c r="H32" s="96">
        <v>7.5525000000000002</v>
      </c>
      <c r="I32" s="102">
        <v>0.60070000000000001</v>
      </c>
      <c r="J32" s="110">
        <v>7.8799999999999995E-2</v>
      </c>
    </row>
    <row r="33" spans="2:10" x14ac:dyDescent="0.35">
      <c r="B33" s="22" t="s">
        <v>7</v>
      </c>
      <c r="C33" s="71">
        <v>24</v>
      </c>
      <c r="D33" s="96">
        <v>1.5491999999999999</v>
      </c>
      <c r="E33" s="104">
        <v>0.73740000000000006</v>
      </c>
      <c r="F33" s="110">
        <v>1.14E-2</v>
      </c>
      <c r="G33" s="72">
        <v>28.4</v>
      </c>
      <c r="H33" s="96">
        <v>3.1368999999999998</v>
      </c>
      <c r="I33" s="102">
        <v>0.66320000000000001</v>
      </c>
      <c r="J33" s="110">
        <v>1.43E-2</v>
      </c>
    </row>
    <row r="34" spans="2:10" x14ac:dyDescent="0.35">
      <c r="B34" s="22" t="s">
        <v>27</v>
      </c>
      <c r="C34" s="71">
        <v>23.6</v>
      </c>
      <c r="D34" s="96">
        <v>2.0590999999999999</v>
      </c>
      <c r="E34" s="104">
        <v>0.80189999999999995</v>
      </c>
      <c r="F34" s="110">
        <v>7.0000000000000001E-3</v>
      </c>
      <c r="G34" s="72">
        <v>24.6</v>
      </c>
      <c r="H34" s="96">
        <v>2.1541000000000001</v>
      </c>
      <c r="I34" s="102">
        <v>0.73939999999999995</v>
      </c>
      <c r="J34" s="110">
        <v>1.43E-2</v>
      </c>
    </row>
    <row r="35" spans="2:10" x14ac:dyDescent="0.35">
      <c r="B35" s="22" t="s">
        <v>8</v>
      </c>
      <c r="C35" s="71">
        <v>24</v>
      </c>
      <c r="D35" s="96">
        <v>3.0331999999999999</v>
      </c>
      <c r="E35" s="104">
        <v>0.73440000000000005</v>
      </c>
      <c r="F35" s="110">
        <v>2.53E-2</v>
      </c>
      <c r="G35" s="72">
        <v>25.6</v>
      </c>
      <c r="H35" s="96">
        <v>5.3140999999999998</v>
      </c>
      <c r="I35" s="102">
        <v>0.59970000000000001</v>
      </c>
      <c r="J35" s="110">
        <v>6.3600000000000004E-2</v>
      </c>
    </row>
    <row r="36" spans="2:10" x14ac:dyDescent="0.35">
      <c r="B36" s="22" t="s">
        <v>9</v>
      </c>
      <c r="C36" s="72">
        <v>25.8</v>
      </c>
      <c r="D36" s="96">
        <v>0.74829999999999997</v>
      </c>
      <c r="E36" s="104">
        <v>0.74509999999999998</v>
      </c>
      <c r="F36" s="110">
        <v>8.0000000000000002E-3</v>
      </c>
      <c r="G36" s="71">
        <v>24.6</v>
      </c>
      <c r="H36" s="96">
        <v>2.0590999999999999</v>
      </c>
      <c r="I36" s="102">
        <v>0.59730000000000005</v>
      </c>
      <c r="J36" s="110">
        <v>1.3299999999999999E-2</v>
      </c>
    </row>
    <row r="37" spans="2:10" x14ac:dyDescent="0.35">
      <c r="B37" s="22" t="s">
        <v>28</v>
      </c>
      <c r="C37" s="71">
        <v>22.4</v>
      </c>
      <c r="D37" s="96">
        <v>1.4966999999999999</v>
      </c>
      <c r="E37" s="104">
        <v>0.751</v>
      </c>
      <c r="F37" s="110">
        <v>1.35E-2</v>
      </c>
      <c r="G37" s="72">
        <v>25.6</v>
      </c>
      <c r="H37" s="96">
        <v>1.4966999999999999</v>
      </c>
      <c r="I37" s="102">
        <v>0.65439999999999998</v>
      </c>
      <c r="J37" s="110">
        <v>1.3299999999999999E-2</v>
      </c>
    </row>
    <row r="38" spans="2:10" x14ac:dyDescent="0.35">
      <c r="B38" s="22" t="s">
        <v>10</v>
      </c>
      <c r="C38" s="71">
        <v>22.6</v>
      </c>
      <c r="D38" s="96">
        <v>3.0066999999999999</v>
      </c>
      <c r="E38" s="104">
        <v>0.71189999999999998</v>
      </c>
      <c r="F38" s="110">
        <v>2.7799999999999998E-2</v>
      </c>
      <c r="G38" s="72">
        <v>31.6</v>
      </c>
      <c r="H38" s="96">
        <v>6.5909000000000004</v>
      </c>
      <c r="I38" s="102">
        <v>0.5746</v>
      </c>
      <c r="J38" s="110">
        <v>8.3999999999999995E-3</v>
      </c>
    </row>
    <row r="39" spans="2:10" x14ac:dyDescent="0.35">
      <c r="B39" s="22" t="s">
        <v>23</v>
      </c>
      <c r="C39" s="72">
        <v>26.2</v>
      </c>
      <c r="D39" s="96">
        <v>2.9933000000000001</v>
      </c>
      <c r="E39" s="104">
        <v>0.8367</v>
      </c>
      <c r="F39" s="110">
        <v>1.17E-2</v>
      </c>
      <c r="G39" s="71">
        <v>24.6</v>
      </c>
      <c r="H39" s="96">
        <v>1.6248</v>
      </c>
      <c r="I39" s="102">
        <v>0.72450000000000003</v>
      </c>
      <c r="J39" s="110">
        <v>1.72E-2</v>
      </c>
    </row>
    <row r="40" spans="2:10" x14ac:dyDescent="0.35">
      <c r="B40" s="22" t="s">
        <v>29</v>
      </c>
      <c r="C40" s="72">
        <v>25</v>
      </c>
      <c r="D40" s="96">
        <v>2.8283999999999998</v>
      </c>
      <c r="E40" s="104">
        <v>0.75360000000000005</v>
      </c>
      <c r="F40" s="110">
        <v>1.9E-2</v>
      </c>
      <c r="G40" s="71">
        <v>24</v>
      </c>
      <c r="H40" s="96">
        <v>2</v>
      </c>
      <c r="I40" s="102">
        <v>0.63249999999999995</v>
      </c>
      <c r="J40" s="110">
        <v>2.6700000000000002E-2</v>
      </c>
    </row>
    <row r="41" spans="2:10" x14ac:dyDescent="0.35">
      <c r="B41" s="22" t="s">
        <v>11</v>
      </c>
      <c r="C41" s="71">
        <v>25.2</v>
      </c>
      <c r="D41" s="96">
        <v>3.1875</v>
      </c>
      <c r="E41" s="104">
        <v>0.74109999999999998</v>
      </c>
      <c r="F41" s="110">
        <v>3.8999999999999998E-3</v>
      </c>
      <c r="G41" s="72">
        <v>31.6</v>
      </c>
      <c r="H41" s="96">
        <v>4.3174000000000001</v>
      </c>
      <c r="I41" s="102">
        <v>0.60260000000000002</v>
      </c>
      <c r="J41" s="110">
        <v>2.5000000000000001E-2</v>
      </c>
    </row>
    <row r="42" spans="2:10" x14ac:dyDescent="0.35">
      <c r="B42" s="22" t="s">
        <v>25</v>
      </c>
      <c r="C42" s="71">
        <v>23.6</v>
      </c>
      <c r="D42" s="96">
        <v>1.4966999999999999</v>
      </c>
      <c r="E42" s="104">
        <v>0.82879999999999998</v>
      </c>
      <c r="F42" s="110">
        <v>1.14E-2</v>
      </c>
      <c r="G42" s="72">
        <v>29</v>
      </c>
      <c r="H42" s="96">
        <v>3.6332</v>
      </c>
      <c r="I42" s="102">
        <v>0.72099999999999997</v>
      </c>
      <c r="J42" s="110">
        <v>1.2E-2</v>
      </c>
    </row>
    <row r="43" spans="2:10" x14ac:dyDescent="0.35">
      <c r="B43" s="22" t="s">
        <v>24</v>
      </c>
      <c r="C43" s="71">
        <v>24</v>
      </c>
      <c r="D43" s="96">
        <v>1.4141999999999999</v>
      </c>
      <c r="E43" s="104">
        <v>0.84030000000000005</v>
      </c>
      <c r="F43" s="110">
        <v>1.38E-2</v>
      </c>
      <c r="G43" s="72">
        <v>29.4</v>
      </c>
      <c r="H43" s="96">
        <v>3.2618999999999998</v>
      </c>
      <c r="I43" s="102">
        <v>0.71289999999999998</v>
      </c>
      <c r="J43" s="110">
        <v>7.7999999999999996E-3</v>
      </c>
    </row>
    <row r="44" spans="2:10" x14ac:dyDescent="0.35">
      <c r="B44" s="22" t="s">
        <v>17</v>
      </c>
      <c r="C44" s="71">
        <v>23.6</v>
      </c>
      <c r="D44" s="96">
        <v>2.4165999999999999</v>
      </c>
      <c r="E44" s="104">
        <v>0.79430000000000001</v>
      </c>
      <c r="F44" s="110">
        <v>7.1999999999999998E-3</v>
      </c>
      <c r="G44" s="72">
        <v>32.4</v>
      </c>
      <c r="H44" s="96">
        <v>3.4409000000000001</v>
      </c>
      <c r="I44" s="102">
        <v>0.70120000000000005</v>
      </c>
      <c r="J44" s="110">
        <v>9.9000000000000008E-3</v>
      </c>
    </row>
    <row r="45" spans="2:10" x14ac:dyDescent="0.35">
      <c r="B45" s="22" t="s">
        <v>12</v>
      </c>
      <c r="C45" s="71">
        <v>23.8</v>
      </c>
      <c r="D45" s="96">
        <v>2.3151999999999999</v>
      </c>
      <c r="E45" s="104">
        <v>0.70930000000000004</v>
      </c>
      <c r="F45" s="110">
        <v>8.9999999999999993E-3</v>
      </c>
      <c r="G45" s="72">
        <v>28.8</v>
      </c>
      <c r="H45" s="96">
        <v>3.8157999999999999</v>
      </c>
      <c r="I45" s="102">
        <v>0.60960000000000003</v>
      </c>
      <c r="J45" s="110">
        <v>1.0500000000000001E-2</v>
      </c>
    </row>
    <row r="46" spans="2:10" x14ac:dyDescent="0.35">
      <c r="B46" s="22" t="s">
        <v>19</v>
      </c>
      <c r="C46" s="71">
        <v>23.4</v>
      </c>
      <c r="D46" s="96">
        <v>2.0590999999999999</v>
      </c>
      <c r="E46" s="104">
        <v>0.83050000000000002</v>
      </c>
      <c r="F46" s="110">
        <v>7.9000000000000008E-3</v>
      </c>
      <c r="G46" s="72">
        <v>25.6</v>
      </c>
      <c r="H46" s="96">
        <v>1.3565</v>
      </c>
      <c r="I46" s="102">
        <v>0.74750000000000005</v>
      </c>
      <c r="J46" s="110">
        <v>7.0000000000000001E-3</v>
      </c>
    </row>
    <row r="47" spans="2:10" x14ac:dyDescent="0.35">
      <c r="B47" s="22" t="s">
        <v>26</v>
      </c>
      <c r="C47" s="71">
        <v>25.6</v>
      </c>
      <c r="D47" s="96">
        <v>6.4062000000000001</v>
      </c>
      <c r="E47" s="104">
        <v>0.73029999999999995</v>
      </c>
      <c r="F47" s="110">
        <v>2.6599999999999999E-2</v>
      </c>
      <c r="G47" s="72">
        <v>29.8</v>
      </c>
      <c r="H47" s="96">
        <v>2.1354000000000002</v>
      </c>
      <c r="I47" s="102">
        <v>0.68389999999999995</v>
      </c>
      <c r="J47" s="110">
        <v>2.2700000000000001E-2</v>
      </c>
    </row>
    <row r="48" spans="2:10" x14ac:dyDescent="0.35">
      <c r="B48" s="22" t="s">
        <v>13</v>
      </c>
      <c r="C48" s="71">
        <v>24</v>
      </c>
      <c r="D48" s="96">
        <v>1.8974</v>
      </c>
      <c r="E48" s="104">
        <v>0.62190000000000001</v>
      </c>
      <c r="F48" s="110">
        <v>7.0000000000000001E-3</v>
      </c>
      <c r="G48" s="72">
        <v>28.2</v>
      </c>
      <c r="H48" s="96">
        <v>5.6710000000000003</v>
      </c>
      <c r="I48" s="102">
        <v>0.51849999999999996</v>
      </c>
      <c r="J48" s="110">
        <v>1.6299999999999999E-2</v>
      </c>
    </row>
    <row r="49" spans="2:10" x14ac:dyDescent="0.35">
      <c r="B49" s="22" t="s">
        <v>20</v>
      </c>
      <c r="C49" s="71">
        <v>21.4</v>
      </c>
      <c r="D49" s="96">
        <v>2.5768</v>
      </c>
      <c r="E49" s="104">
        <v>0.64959999999999996</v>
      </c>
      <c r="F49" s="110">
        <v>1.3299999999999999E-2</v>
      </c>
      <c r="G49" s="72">
        <v>25.4</v>
      </c>
      <c r="H49" s="96">
        <v>2.6533000000000002</v>
      </c>
      <c r="I49" s="102">
        <v>0.59199999999999997</v>
      </c>
      <c r="J49" s="110">
        <v>1.7500000000000002E-2</v>
      </c>
    </row>
    <row r="50" spans="2:10" x14ac:dyDescent="0.35">
      <c r="B50" s="22" t="s">
        <v>18</v>
      </c>
      <c r="C50" s="71">
        <v>24.8</v>
      </c>
      <c r="D50" s="96">
        <v>4.2614999999999998</v>
      </c>
      <c r="E50" s="104">
        <v>0.79900000000000004</v>
      </c>
      <c r="F50" s="110">
        <v>1.55E-2</v>
      </c>
      <c r="G50" s="72">
        <v>26.6</v>
      </c>
      <c r="H50" s="96">
        <v>2.0590999999999999</v>
      </c>
      <c r="I50" s="102">
        <v>0.72929999999999995</v>
      </c>
      <c r="J50" s="110">
        <v>2.0199999999999999E-2</v>
      </c>
    </row>
    <row r="51" spans="2:10" x14ac:dyDescent="0.35">
      <c r="B51" s="22" t="s">
        <v>62</v>
      </c>
      <c r="C51" s="71">
        <v>36.200000000000003</v>
      </c>
      <c r="D51" s="96">
        <v>16.904399999999999</v>
      </c>
      <c r="E51" s="104">
        <v>0.78569999999999995</v>
      </c>
      <c r="F51" s="110">
        <v>5.9799999999999999E-2</v>
      </c>
      <c r="G51" s="72">
        <v>18.8</v>
      </c>
      <c r="H51" s="96">
        <v>15.6</v>
      </c>
      <c r="I51" s="102">
        <v>0.52139999999999997</v>
      </c>
      <c r="J51" s="110">
        <v>0.24049999999999999</v>
      </c>
    </row>
    <row r="52" spans="2:10" x14ac:dyDescent="0.35">
      <c r="B52" s="22" t="s">
        <v>14</v>
      </c>
      <c r="C52" s="73">
        <v>24.6</v>
      </c>
      <c r="D52" s="96">
        <v>4.0298999999999996</v>
      </c>
      <c r="E52" s="104">
        <v>0.67579999999999996</v>
      </c>
      <c r="F52" s="110">
        <v>2.2200000000000001E-2</v>
      </c>
      <c r="G52" s="88">
        <v>26.8</v>
      </c>
      <c r="H52" s="96">
        <v>2.6381999999999999</v>
      </c>
      <c r="I52" s="102">
        <v>0.58399999999999996</v>
      </c>
      <c r="J52" s="110">
        <v>8.3999999999999995E-3</v>
      </c>
    </row>
    <row r="53" spans="2:10" x14ac:dyDescent="0.35">
      <c r="B53" s="74" t="s">
        <v>22</v>
      </c>
      <c r="C53" s="76">
        <f t="shared" ref="C53" si="2">AVERAGE(C31:C52)</f>
        <v>24.563636363636366</v>
      </c>
      <c r="D53" s="134">
        <f>AVERAGE(D31:D52)</f>
        <v>3.2784909090909085</v>
      </c>
      <c r="E53" s="114">
        <f t="shared" ref="E53" si="3">AVERAGE(E31:E52)</f>
        <v>0.75770909090909089</v>
      </c>
      <c r="F53" s="117">
        <f>AVERAGE(F31:F52)</f>
        <v>1.5713636363636364E-2</v>
      </c>
      <c r="G53" s="75">
        <f t="shared" ref="G53" si="4">AVERAGE(G31:G52)</f>
        <v>27.181818181818176</v>
      </c>
      <c r="H53" s="134">
        <f>AVERAGE(H31:H52)</f>
        <v>3.7911909090909082</v>
      </c>
      <c r="I53" s="109">
        <f t="shared" ref="I53:J53" si="5">AVERAGE(I31:I52)</f>
        <v>0.6523363636363636</v>
      </c>
      <c r="J53" s="111">
        <f t="shared" si="5"/>
        <v>3.005909090909091E-2</v>
      </c>
    </row>
  </sheetData>
  <mergeCells count="14">
    <mergeCell ref="C28:J28"/>
    <mergeCell ref="C29:F29"/>
    <mergeCell ref="G29:J29"/>
    <mergeCell ref="C30:D30"/>
    <mergeCell ref="E30:F30"/>
    <mergeCell ref="G30:H30"/>
    <mergeCell ref="I30:J30"/>
    <mergeCell ref="C1:J1"/>
    <mergeCell ref="C2:F2"/>
    <mergeCell ref="G2:J2"/>
    <mergeCell ref="C3:D3"/>
    <mergeCell ref="E3:F3"/>
    <mergeCell ref="G3:H3"/>
    <mergeCell ref="I3:J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D249-6C7C-42A8-A69E-C1EA58715686}">
  <dimension ref="B1:M53"/>
  <sheetViews>
    <sheetView workbookViewId="0">
      <selection activeCell="K35" sqref="K35"/>
    </sheetView>
  </sheetViews>
  <sheetFormatPr defaultRowHeight="14.5" x14ac:dyDescent="0.35"/>
  <cols>
    <col min="2" max="2" width="20.26953125" customWidth="1"/>
  </cols>
  <sheetData>
    <row r="1" spans="2:13" x14ac:dyDescent="0.35">
      <c r="B1" s="68" t="s">
        <v>56</v>
      </c>
      <c r="C1" s="147" t="s">
        <v>65</v>
      </c>
      <c r="D1" s="147"/>
      <c r="E1" s="147"/>
      <c r="F1" s="147"/>
      <c r="G1" s="147"/>
      <c r="H1" s="147"/>
      <c r="I1" s="147"/>
      <c r="J1" s="147"/>
      <c r="K1" s="130"/>
      <c r="L1" s="130"/>
      <c r="M1" s="130"/>
    </row>
    <row r="2" spans="2:13" x14ac:dyDescent="0.35">
      <c r="B2" s="84" t="s">
        <v>57</v>
      </c>
      <c r="C2" s="144" t="s">
        <v>81</v>
      </c>
      <c r="D2" s="145"/>
      <c r="E2" s="145"/>
      <c r="F2" s="146"/>
      <c r="G2" s="144" t="s">
        <v>82</v>
      </c>
      <c r="H2" s="145"/>
      <c r="I2" s="145"/>
      <c r="J2" s="145"/>
    </row>
    <row r="3" spans="2:13" x14ac:dyDescent="0.35">
      <c r="B3" s="16" t="s">
        <v>0</v>
      </c>
      <c r="C3" s="149" t="s">
        <v>52</v>
      </c>
      <c r="D3" s="150"/>
      <c r="E3" s="141" t="s">
        <v>53</v>
      </c>
      <c r="F3" s="151"/>
      <c r="G3" s="149" t="s">
        <v>52</v>
      </c>
      <c r="H3" s="150"/>
      <c r="I3" s="143" t="s">
        <v>53</v>
      </c>
      <c r="J3" s="143"/>
    </row>
    <row r="4" spans="2:13" x14ac:dyDescent="0.35">
      <c r="B4" s="22" t="s">
        <v>5</v>
      </c>
      <c r="C4" s="131">
        <v>31.8</v>
      </c>
      <c r="D4" s="96">
        <v>3.6551</v>
      </c>
      <c r="E4" s="132">
        <v>0.88919999999999999</v>
      </c>
      <c r="F4" s="110">
        <v>2.7400000000000001E-2</v>
      </c>
      <c r="G4" s="86">
        <v>33</v>
      </c>
      <c r="H4" s="96">
        <v>2.6076999999999999</v>
      </c>
      <c r="I4" s="102">
        <v>0.8841</v>
      </c>
      <c r="J4" s="110">
        <v>2.4400000000000002E-2</v>
      </c>
    </row>
    <row r="5" spans="2:13" x14ac:dyDescent="0.35">
      <c r="B5" s="22" t="s">
        <v>6</v>
      </c>
      <c r="C5" s="71">
        <v>20.6</v>
      </c>
      <c r="D5" s="96">
        <v>1.8547</v>
      </c>
      <c r="E5" s="104">
        <v>0.72509999999999997</v>
      </c>
      <c r="F5" s="110">
        <v>2.4E-2</v>
      </c>
      <c r="G5" s="72">
        <v>22.2</v>
      </c>
      <c r="H5" s="96">
        <v>4.1665000000000001</v>
      </c>
      <c r="I5" s="102">
        <v>0.69140000000000001</v>
      </c>
      <c r="J5" s="110">
        <v>3.1899999999999998E-2</v>
      </c>
    </row>
    <row r="6" spans="2:13" x14ac:dyDescent="0.35">
      <c r="B6" s="22" t="s">
        <v>7</v>
      </c>
      <c r="C6" s="72">
        <v>26</v>
      </c>
      <c r="D6" s="96">
        <v>1.4141999999999999</v>
      </c>
      <c r="E6" s="102">
        <v>0.76200000000000001</v>
      </c>
      <c r="F6" s="110">
        <v>1.1900000000000001E-2</v>
      </c>
      <c r="G6" s="71">
        <v>25.8</v>
      </c>
      <c r="H6" s="96">
        <v>1.6</v>
      </c>
      <c r="I6" s="104">
        <v>0.76349999999999996</v>
      </c>
      <c r="J6" s="110">
        <v>7.7999999999999996E-3</v>
      </c>
    </row>
    <row r="7" spans="2:13" x14ac:dyDescent="0.35">
      <c r="B7" s="22" t="s">
        <v>27</v>
      </c>
      <c r="C7" s="71">
        <v>25.6</v>
      </c>
      <c r="D7" s="96">
        <v>1.6248</v>
      </c>
      <c r="E7" s="104">
        <v>0.80520000000000003</v>
      </c>
      <c r="F7" s="110">
        <v>9.4000000000000004E-3</v>
      </c>
      <c r="G7" s="72">
        <v>28</v>
      </c>
      <c r="H7" s="96">
        <v>2.6833</v>
      </c>
      <c r="I7" s="102">
        <v>0.79730000000000001</v>
      </c>
      <c r="J7" s="110">
        <v>6.4000000000000003E-3</v>
      </c>
    </row>
    <row r="8" spans="2:13" x14ac:dyDescent="0.35">
      <c r="B8" s="22" t="s">
        <v>8</v>
      </c>
      <c r="C8" s="72">
        <v>27.2</v>
      </c>
      <c r="D8" s="96">
        <v>1.3266</v>
      </c>
      <c r="E8" s="104">
        <v>0.74560000000000004</v>
      </c>
      <c r="F8" s="110">
        <v>3.2199999999999999E-2</v>
      </c>
      <c r="G8" s="71">
        <v>22.2</v>
      </c>
      <c r="H8" s="96">
        <v>5.1147</v>
      </c>
      <c r="I8" s="102">
        <v>0.68720000000000003</v>
      </c>
      <c r="J8" s="110">
        <v>0.1</v>
      </c>
    </row>
    <row r="9" spans="2:13" x14ac:dyDescent="0.35">
      <c r="B9" s="22" t="s">
        <v>9</v>
      </c>
      <c r="C9" s="71">
        <v>21.6</v>
      </c>
      <c r="D9" s="96">
        <v>2.7275999999999998</v>
      </c>
      <c r="E9" s="102">
        <v>0.72889999999999999</v>
      </c>
      <c r="F9" s="110">
        <v>1.72E-2</v>
      </c>
      <c r="G9" s="72">
        <v>22.2</v>
      </c>
      <c r="H9" s="96">
        <v>3.9699</v>
      </c>
      <c r="I9" s="104">
        <v>0.7399</v>
      </c>
      <c r="J9" s="110">
        <v>2.58E-2</v>
      </c>
    </row>
    <row r="10" spans="2:13" x14ac:dyDescent="0.35">
      <c r="B10" s="22" t="s">
        <v>28</v>
      </c>
      <c r="C10" s="72">
        <v>31</v>
      </c>
      <c r="D10" s="96">
        <v>3.5777000000000001</v>
      </c>
      <c r="E10" s="102">
        <v>0.7591</v>
      </c>
      <c r="F10" s="110">
        <v>1.11E-2</v>
      </c>
      <c r="G10" s="71">
        <v>26</v>
      </c>
      <c r="H10" s="96">
        <v>2.6833</v>
      </c>
      <c r="I10" s="104">
        <v>0.76119999999999999</v>
      </c>
      <c r="J10" s="110">
        <v>2.2499999999999999E-2</v>
      </c>
    </row>
    <row r="11" spans="2:13" x14ac:dyDescent="0.35">
      <c r="B11" s="22" t="s">
        <v>10</v>
      </c>
      <c r="C11" s="72">
        <v>22</v>
      </c>
      <c r="D11" s="96">
        <v>3.0331999999999999</v>
      </c>
      <c r="E11" s="104">
        <v>0.74770000000000003</v>
      </c>
      <c r="F11" s="110">
        <v>2.4899999999999999E-2</v>
      </c>
      <c r="G11" s="71">
        <v>20</v>
      </c>
      <c r="H11" s="96">
        <v>2.6076999999999999</v>
      </c>
      <c r="I11" s="102">
        <v>0.73329999999999995</v>
      </c>
      <c r="J11" s="110">
        <v>0.02</v>
      </c>
    </row>
    <row r="12" spans="2:13" x14ac:dyDescent="0.35">
      <c r="B12" s="22" t="s">
        <v>23</v>
      </c>
      <c r="C12" s="71">
        <v>33.200000000000003</v>
      </c>
      <c r="D12" s="96">
        <v>5.2687999999999997</v>
      </c>
      <c r="E12" s="102">
        <v>0.82279999999999998</v>
      </c>
      <c r="F12" s="110">
        <v>3.1899999999999998E-2</v>
      </c>
      <c r="G12" s="72">
        <v>34.4</v>
      </c>
      <c r="H12" s="96">
        <v>10.2098</v>
      </c>
      <c r="I12" s="104">
        <v>0.82289999999999996</v>
      </c>
      <c r="J12" s="110">
        <v>1.9699999999999999E-2</v>
      </c>
    </row>
    <row r="13" spans="2:13" x14ac:dyDescent="0.35">
      <c r="B13" s="22" t="s">
        <v>29</v>
      </c>
      <c r="C13" s="72">
        <v>41.2</v>
      </c>
      <c r="D13" s="96">
        <v>6.4311999999999996</v>
      </c>
      <c r="E13" s="104">
        <v>0.74990000000000001</v>
      </c>
      <c r="F13" s="110">
        <v>1.83E-2</v>
      </c>
      <c r="G13" s="71">
        <v>38</v>
      </c>
      <c r="H13" s="96">
        <v>7.0143000000000004</v>
      </c>
      <c r="I13" s="102">
        <v>0.72619999999999996</v>
      </c>
      <c r="J13" s="110">
        <v>2.8000000000000001E-2</v>
      </c>
    </row>
    <row r="14" spans="2:13" x14ac:dyDescent="0.35">
      <c r="B14" s="22" t="s">
        <v>11</v>
      </c>
      <c r="C14" s="71">
        <v>25.4</v>
      </c>
      <c r="D14" s="96">
        <v>1.3565</v>
      </c>
      <c r="E14" s="104">
        <v>0.75139999999999996</v>
      </c>
      <c r="F14" s="110">
        <v>3.2899999999999999E-2</v>
      </c>
      <c r="G14" s="72">
        <v>25.8</v>
      </c>
      <c r="H14" s="96">
        <v>2.9257</v>
      </c>
      <c r="I14" s="102">
        <v>0.75</v>
      </c>
      <c r="J14" s="110">
        <v>3.7400000000000003E-2</v>
      </c>
    </row>
    <row r="15" spans="2:13" x14ac:dyDescent="0.35">
      <c r="B15" s="22" t="s">
        <v>25</v>
      </c>
      <c r="C15" s="71">
        <v>28</v>
      </c>
      <c r="D15" s="96">
        <v>2.4495</v>
      </c>
      <c r="E15" s="102">
        <v>0.81479999999999997</v>
      </c>
      <c r="F15" s="110">
        <v>2.3E-2</v>
      </c>
      <c r="G15" s="72">
        <v>36.200000000000003</v>
      </c>
      <c r="H15" s="96">
        <v>9.3680000000000003</v>
      </c>
      <c r="I15" s="104">
        <v>0.8236</v>
      </c>
      <c r="J15" s="110">
        <v>9.4000000000000004E-3</v>
      </c>
    </row>
    <row r="16" spans="2:13" x14ac:dyDescent="0.35">
      <c r="B16" s="22" t="s">
        <v>24</v>
      </c>
      <c r="C16" s="72">
        <v>35</v>
      </c>
      <c r="D16" s="96">
        <v>5.7618999999999998</v>
      </c>
      <c r="E16" s="102">
        <v>0.84450000000000003</v>
      </c>
      <c r="F16" s="110">
        <v>1.32E-2</v>
      </c>
      <c r="G16" s="71">
        <v>29.2</v>
      </c>
      <c r="H16" s="96">
        <v>5.0358999999999998</v>
      </c>
      <c r="I16" s="104">
        <v>0.85109999999999997</v>
      </c>
      <c r="J16" s="110">
        <v>1.72E-2</v>
      </c>
    </row>
    <row r="17" spans="2:10" x14ac:dyDescent="0.35">
      <c r="B17" s="22" t="s">
        <v>17</v>
      </c>
      <c r="C17" s="72">
        <v>25.8</v>
      </c>
      <c r="D17" s="96">
        <v>2.3151999999999999</v>
      </c>
      <c r="E17" s="104">
        <v>0.80249999999999999</v>
      </c>
      <c r="F17" s="110">
        <v>1.17E-2</v>
      </c>
      <c r="G17" s="71">
        <v>24</v>
      </c>
      <c r="H17" s="96">
        <v>2.6076999999999999</v>
      </c>
      <c r="I17" s="102">
        <v>0.77749999999999997</v>
      </c>
      <c r="J17" s="110">
        <v>3.6600000000000001E-2</v>
      </c>
    </row>
    <row r="18" spans="2:10" x14ac:dyDescent="0.35">
      <c r="B18" s="22" t="s">
        <v>12</v>
      </c>
      <c r="C18" s="71">
        <v>22.8</v>
      </c>
      <c r="D18" s="96">
        <v>2.7856999999999998</v>
      </c>
      <c r="E18" s="102">
        <v>0.7198</v>
      </c>
      <c r="F18" s="110">
        <v>3.04E-2</v>
      </c>
      <c r="G18" s="72">
        <v>26</v>
      </c>
      <c r="H18" s="96">
        <v>2.4495</v>
      </c>
      <c r="I18" s="104">
        <v>0.73150000000000004</v>
      </c>
      <c r="J18" s="110">
        <v>1.0200000000000001E-2</v>
      </c>
    </row>
    <row r="19" spans="2:10" x14ac:dyDescent="0.35">
      <c r="B19" s="22" t="s">
        <v>19</v>
      </c>
      <c r="C19" s="72">
        <v>29.4</v>
      </c>
      <c r="D19" s="96">
        <v>8.5463000000000005</v>
      </c>
      <c r="E19" s="104">
        <v>0.83960000000000001</v>
      </c>
      <c r="F19" s="110">
        <v>6.8999999999999999E-3</v>
      </c>
      <c r="G19" s="71">
        <v>27.4</v>
      </c>
      <c r="H19" s="96">
        <v>2.9394</v>
      </c>
      <c r="I19" s="102">
        <v>0.83609999999999995</v>
      </c>
      <c r="J19" s="110">
        <v>7.9000000000000008E-3</v>
      </c>
    </row>
    <row r="20" spans="2:10" x14ac:dyDescent="0.35">
      <c r="B20" s="22" t="s">
        <v>26</v>
      </c>
      <c r="C20" s="72">
        <v>24.8</v>
      </c>
      <c r="D20" s="96">
        <v>3.3106</v>
      </c>
      <c r="E20" s="104">
        <v>0.74970000000000003</v>
      </c>
      <c r="F20" s="110">
        <v>2.4299999999999999E-2</v>
      </c>
      <c r="G20" s="71">
        <v>21</v>
      </c>
      <c r="H20" s="96">
        <v>1.6733</v>
      </c>
      <c r="I20" s="102">
        <v>0.72519999999999996</v>
      </c>
      <c r="J20" s="110">
        <v>3.4799999999999998E-2</v>
      </c>
    </row>
    <row r="21" spans="2:10" x14ac:dyDescent="0.35">
      <c r="B21" s="22" t="s">
        <v>13</v>
      </c>
      <c r="C21" s="72">
        <v>21.2</v>
      </c>
      <c r="D21" s="96">
        <v>2.4</v>
      </c>
      <c r="E21" s="102">
        <v>0.63170000000000004</v>
      </c>
      <c r="F21" s="110">
        <v>2.8799999999999999E-2</v>
      </c>
      <c r="G21" s="71">
        <v>20.399999999999999</v>
      </c>
      <c r="H21" s="96">
        <v>1.4966999999999999</v>
      </c>
      <c r="I21" s="104">
        <v>0.63190000000000002</v>
      </c>
      <c r="J21" s="110">
        <v>3.3599999999999998E-2</v>
      </c>
    </row>
    <row r="22" spans="2:10" x14ac:dyDescent="0.35">
      <c r="B22" s="22" t="s">
        <v>20</v>
      </c>
      <c r="C22" s="71">
        <v>25</v>
      </c>
      <c r="D22" s="96">
        <v>2.4495</v>
      </c>
      <c r="E22" s="104">
        <v>0.66249999999999998</v>
      </c>
      <c r="F22" s="110">
        <v>2.1700000000000001E-2</v>
      </c>
      <c r="G22" s="72">
        <v>25.2</v>
      </c>
      <c r="H22" s="96">
        <v>5.3066000000000004</v>
      </c>
      <c r="I22" s="102">
        <v>0.65669999999999995</v>
      </c>
      <c r="J22" s="110">
        <v>1.7100000000000001E-2</v>
      </c>
    </row>
    <row r="23" spans="2:10" x14ac:dyDescent="0.35">
      <c r="B23" s="22" t="s">
        <v>18</v>
      </c>
      <c r="C23" s="72">
        <v>34.200000000000003</v>
      </c>
      <c r="D23" s="96">
        <v>8.7727000000000004</v>
      </c>
      <c r="E23" s="102">
        <v>0.80469999999999997</v>
      </c>
      <c r="F23" s="110">
        <v>1.7000000000000001E-2</v>
      </c>
      <c r="G23" s="71">
        <v>33</v>
      </c>
      <c r="H23" s="96">
        <v>5.7618999999999998</v>
      </c>
      <c r="I23" s="104">
        <v>0.80869999999999997</v>
      </c>
      <c r="J23" s="110">
        <v>1.5900000000000001E-2</v>
      </c>
    </row>
    <row r="24" spans="2:10" x14ac:dyDescent="0.35">
      <c r="B24" s="22" t="s">
        <v>62</v>
      </c>
      <c r="C24" s="71">
        <v>15.6</v>
      </c>
      <c r="D24" s="96">
        <v>1.7436</v>
      </c>
      <c r="E24" s="104">
        <v>1</v>
      </c>
      <c r="F24" s="110">
        <v>0</v>
      </c>
      <c r="G24" s="72">
        <v>16.600000000000001</v>
      </c>
      <c r="H24" s="96">
        <v>1.0198</v>
      </c>
      <c r="I24" s="104">
        <v>1</v>
      </c>
      <c r="J24" s="110">
        <v>0</v>
      </c>
    </row>
    <row r="25" spans="2:10" x14ac:dyDescent="0.35">
      <c r="B25" s="22" t="s">
        <v>14</v>
      </c>
      <c r="C25" s="72">
        <v>23.4</v>
      </c>
      <c r="D25" s="96">
        <v>2.8704999999999998</v>
      </c>
      <c r="E25" s="104">
        <v>0.68100000000000005</v>
      </c>
      <c r="F25" s="110">
        <v>2.52E-2</v>
      </c>
      <c r="G25" s="73">
        <v>22.6</v>
      </c>
      <c r="H25" s="96">
        <v>2.6533000000000002</v>
      </c>
      <c r="I25" s="102">
        <v>0.65949999999999998</v>
      </c>
      <c r="J25" s="110">
        <v>3.0300000000000001E-2</v>
      </c>
    </row>
    <row r="26" spans="2:10" x14ac:dyDescent="0.35">
      <c r="B26" s="74" t="s">
        <v>22</v>
      </c>
      <c r="C26" s="75">
        <f t="shared" ref="C26" si="0">AVERAGE(C4:C25)</f>
        <v>26.854545454545452</v>
      </c>
      <c r="D26" s="134">
        <f>AVERAGE(D4:D25)</f>
        <v>3.4398136363636356</v>
      </c>
      <c r="E26" s="114">
        <f t="shared" ref="E26:J26" si="1">AVERAGE(E4:E25)</f>
        <v>0.77444090909090935</v>
      </c>
      <c r="F26" s="111">
        <f t="shared" si="1"/>
        <v>2.0154545454545456E-2</v>
      </c>
      <c r="G26" s="76">
        <f t="shared" si="1"/>
        <v>26.327272727272724</v>
      </c>
      <c r="H26" s="134">
        <f>AVERAGE(H4:H25)</f>
        <v>3.9043181818181822</v>
      </c>
      <c r="I26" s="109">
        <f t="shared" si="1"/>
        <v>0.76630909090909105</v>
      </c>
      <c r="J26" s="111">
        <f t="shared" si="1"/>
        <v>2.4404545454545457E-2</v>
      </c>
    </row>
    <row r="28" spans="2:10" x14ac:dyDescent="0.35">
      <c r="B28" s="68" t="s">
        <v>56</v>
      </c>
      <c r="C28" s="147" t="s">
        <v>75</v>
      </c>
      <c r="D28" s="147"/>
      <c r="E28" s="147"/>
      <c r="F28" s="147"/>
      <c r="G28" s="147"/>
      <c r="H28" s="147"/>
      <c r="I28" s="147"/>
      <c r="J28" s="147"/>
    </row>
    <row r="29" spans="2:10" x14ac:dyDescent="0.35">
      <c r="B29" s="84" t="s">
        <v>57</v>
      </c>
      <c r="C29" s="144" t="s">
        <v>81</v>
      </c>
      <c r="D29" s="145"/>
      <c r="E29" s="145"/>
      <c r="F29" s="146"/>
      <c r="G29" s="144" t="s">
        <v>82</v>
      </c>
      <c r="H29" s="145"/>
      <c r="I29" s="145"/>
      <c r="J29" s="145"/>
    </row>
    <row r="30" spans="2:10" x14ac:dyDescent="0.35">
      <c r="B30" s="16" t="s">
        <v>0</v>
      </c>
      <c r="C30" s="149" t="s">
        <v>52</v>
      </c>
      <c r="D30" s="150"/>
      <c r="E30" s="141" t="s">
        <v>53</v>
      </c>
      <c r="F30" s="151"/>
      <c r="G30" s="149" t="s">
        <v>52</v>
      </c>
      <c r="H30" s="150"/>
      <c r="I30" s="143" t="s">
        <v>53</v>
      </c>
      <c r="J30" s="143"/>
    </row>
    <row r="31" spans="2:10" x14ac:dyDescent="0.35">
      <c r="B31" s="22" t="s">
        <v>5</v>
      </c>
      <c r="C31" s="131"/>
      <c r="D31" s="96"/>
      <c r="E31" s="132"/>
      <c r="F31" s="110"/>
      <c r="G31" s="86"/>
      <c r="H31" s="96"/>
      <c r="I31" s="102"/>
      <c r="J31" s="102"/>
    </row>
    <row r="32" spans="2:10" x14ac:dyDescent="0.35">
      <c r="B32" s="22" t="s">
        <v>6</v>
      </c>
      <c r="C32" s="71"/>
      <c r="D32" s="96"/>
      <c r="E32" s="104"/>
      <c r="F32" s="110"/>
      <c r="G32" s="72"/>
      <c r="H32" s="96"/>
      <c r="I32" s="102"/>
      <c r="J32" s="102"/>
    </row>
    <row r="33" spans="2:10" x14ac:dyDescent="0.35">
      <c r="B33" s="22" t="s">
        <v>7</v>
      </c>
      <c r="C33" s="71"/>
      <c r="D33" s="96"/>
      <c r="E33" s="104"/>
      <c r="F33" s="110"/>
      <c r="G33" s="72"/>
      <c r="H33" s="96"/>
      <c r="I33" s="102"/>
      <c r="J33" s="102"/>
    </row>
    <row r="34" spans="2:10" x14ac:dyDescent="0.35">
      <c r="B34" s="22" t="s">
        <v>27</v>
      </c>
      <c r="C34" s="71"/>
      <c r="D34" s="96"/>
      <c r="E34" s="104"/>
      <c r="F34" s="110"/>
      <c r="G34" s="72"/>
      <c r="H34" s="96"/>
      <c r="I34" s="102"/>
      <c r="J34" s="102"/>
    </row>
    <row r="35" spans="2:10" x14ac:dyDescent="0.35">
      <c r="B35" s="22" t="s">
        <v>8</v>
      </c>
      <c r="C35" s="71"/>
      <c r="D35" s="96"/>
      <c r="E35" s="104"/>
      <c r="F35" s="110"/>
      <c r="G35" s="72"/>
      <c r="H35" s="96"/>
      <c r="I35" s="102"/>
      <c r="J35" s="102"/>
    </row>
    <row r="36" spans="2:10" x14ac:dyDescent="0.35">
      <c r="B36" s="22" t="s">
        <v>9</v>
      </c>
      <c r="C36" s="72"/>
      <c r="D36" s="96"/>
      <c r="E36" s="104"/>
      <c r="F36" s="110"/>
      <c r="G36" s="71"/>
      <c r="H36" s="96"/>
      <c r="I36" s="102"/>
      <c r="J36" s="102"/>
    </row>
    <row r="37" spans="2:10" x14ac:dyDescent="0.35">
      <c r="B37" s="22" t="s">
        <v>28</v>
      </c>
      <c r="C37" s="71"/>
      <c r="D37" s="96"/>
      <c r="E37" s="104"/>
      <c r="F37" s="110"/>
      <c r="G37" s="72"/>
      <c r="H37" s="96"/>
      <c r="I37" s="102"/>
      <c r="J37" s="102"/>
    </row>
    <row r="38" spans="2:10" x14ac:dyDescent="0.35">
      <c r="B38" s="22" t="s">
        <v>10</v>
      </c>
      <c r="C38" s="71"/>
      <c r="D38" s="96"/>
      <c r="E38" s="104"/>
      <c r="F38" s="110"/>
      <c r="G38" s="72"/>
      <c r="H38" s="96"/>
      <c r="I38" s="102"/>
      <c r="J38" s="102"/>
    </row>
    <row r="39" spans="2:10" x14ac:dyDescent="0.35">
      <c r="B39" s="22" t="s">
        <v>23</v>
      </c>
      <c r="C39" s="72"/>
      <c r="D39" s="96"/>
      <c r="E39" s="104"/>
      <c r="F39" s="110"/>
      <c r="G39" s="71"/>
      <c r="H39" s="96"/>
      <c r="I39" s="102"/>
      <c r="J39" s="102"/>
    </row>
    <row r="40" spans="2:10" x14ac:dyDescent="0.35">
      <c r="B40" s="22" t="s">
        <v>29</v>
      </c>
      <c r="C40" s="72"/>
      <c r="D40" s="96"/>
      <c r="E40" s="104"/>
      <c r="F40" s="110"/>
      <c r="G40" s="71"/>
      <c r="H40" s="96"/>
      <c r="I40" s="102"/>
      <c r="J40" s="102"/>
    </row>
    <row r="41" spans="2:10" x14ac:dyDescent="0.35">
      <c r="B41" s="22" t="s">
        <v>11</v>
      </c>
      <c r="C41" s="71"/>
      <c r="D41" s="96"/>
      <c r="E41" s="104"/>
      <c r="F41" s="110"/>
      <c r="G41" s="72"/>
      <c r="H41" s="96"/>
      <c r="I41" s="102"/>
      <c r="J41" s="102"/>
    </row>
    <row r="42" spans="2:10" x14ac:dyDescent="0.35">
      <c r="B42" s="22" t="s">
        <v>25</v>
      </c>
      <c r="C42" s="71"/>
      <c r="D42" s="96"/>
      <c r="E42" s="104"/>
      <c r="F42" s="110"/>
      <c r="G42" s="72"/>
      <c r="H42" s="96"/>
      <c r="I42" s="102"/>
      <c r="J42" s="102"/>
    </row>
    <row r="43" spans="2:10" x14ac:dyDescent="0.35">
      <c r="B43" s="22" t="s">
        <v>24</v>
      </c>
      <c r="C43" s="71"/>
      <c r="D43" s="96"/>
      <c r="E43" s="104"/>
      <c r="F43" s="110"/>
      <c r="G43" s="72"/>
      <c r="H43" s="96"/>
      <c r="I43" s="102"/>
      <c r="J43" s="102"/>
    </row>
    <row r="44" spans="2:10" x14ac:dyDescent="0.35">
      <c r="B44" s="22" t="s">
        <v>17</v>
      </c>
      <c r="C44" s="71"/>
      <c r="D44" s="96"/>
      <c r="E44" s="104"/>
      <c r="F44" s="110"/>
      <c r="G44" s="72"/>
      <c r="H44" s="96"/>
      <c r="I44" s="102"/>
      <c r="J44" s="102"/>
    </row>
    <row r="45" spans="2:10" x14ac:dyDescent="0.35">
      <c r="B45" s="22" t="s">
        <v>12</v>
      </c>
      <c r="C45" s="71"/>
      <c r="D45" s="96"/>
      <c r="E45" s="104"/>
      <c r="F45" s="110"/>
      <c r="G45" s="72"/>
      <c r="H45" s="96"/>
      <c r="I45" s="102"/>
      <c r="J45" s="102"/>
    </row>
    <row r="46" spans="2:10" x14ac:dyDescent="0.35">
      <c r="B46" s="22" t="s">
        <v>19</v>
      </c>
      <c r="C46" s="71"/>
      <c r="D46" s="96"/>
      <c r="E46" s="104"/>
      <c r="F46" s="110"/>
      <c r="G46" s="72"/>
      <c r="H46" s="96"/>
      <c r="I46" s="102"/>
      <c r="J46" s="102"/>
    </row>
    <row r="47" spans="2:10" x14ac:dyDescent="0.35">
      <c r="B47" s="22" t="s">
        <v>26</v>
      </c>
      <c r="C47" s="71"/>
      <c r="D47" s="96"/>
      <c r="E47" s="104"/>
      <c r="F47" s="110"/>
      <c r="G47" s="72"/>
      <c r="H47" s="96"/>
      <c r="I47" s="102"/>
      <c r="J47" s="102"/>
    </row>
    <row r="48" spans="2:10" x14ac:dyDescent="0.35">
      <c r="B48" s="22" t="s">
        <v>13</v>
      </c>
      <c r="C48" s="71"/>
      <c r="D48" s="96"/>
      <c r="E48" s="104"/>
      <c r="F48" s="110"/>
      <c r="G48" s="72"/>
      <c r="H48" s="96"/>
      <c r="I48" s="102"/>
      <c r="J48" s="102"/>
    </row>
    <row r="49" spans="2:10" x14ac:dyDescent="0.35">
      <c r="B49" s="22" t="s">
        <v>20</v>
      </c>
      <c r="C49" s="71"/>
      <c r="D49" s="96"/>
      <c r="E49" s="104"/>
      <c r="F49" s="110"/>
      <c r="G49" s="72"/>
      <c r="H49" s="96"/>
      <c r="I49" s="102"/>
      <c r="J49" s="102"/>
    </row>
    <row r="50" spans="2:10" x14ac:dyDescent="0.35">
      <c r="B50" s="22" t="s">
        <v>18</v>
      </c>
      <c r="C50" s="71"/>
      <c r="D50" s="96"/>
      <c r="E50" s="104"/>
      <c r="F50" s="110"/>
      <c r="G50" s="72"/>
      <c r="H50" s="96"/>
      <c r="I50" s="102"/>
      <c r="J50" s="102"/>
    </row>
    <row r="51" spans="2:10" x14ac:dyDescent="0.35">
      <c r="B51" s="22" t="s">
        <v>62</v>
      </c>
      <c r="C51" s="71"/>
      <c r="D51" s="96"/>
      <c r="E51" s="104"/>
      <c r="F51" s="110"/>
      <c r="G51" s="72"/>
      <c r="H51" s="96"/>
      <c r="I51" s="102"/>
      <c r="J51" s="102"/>
    </row>
    <row r="52" spans="2:10" x14ac:dyDescent="0.35">
      <c r="B52" s="22" t="s">
        <v>14</v>
      </c>
      <c r="C52" s="73"/>
      <c r="D52" s="96"/>
      <c r="E52" s="104"/>
      <c r="F52" s="110"/>
      <c r="G52" s="88"/>
      <c r="H52" s="96"/>
      <c r="I52" s="102"/>
      <c r="J52" s="102"/>
    </row>
    <row r="53" spans="2:10" x14ac:dyDescent="0.35">
      <c r="B53" s="74" t="s">
        <v>22</v>
      </c>
      <c r="C53" s="76" t="e">
        <f t="shared" ref="C53" si="2">AVERAGE(C31:C52)</f>
        <v>#DIV/0!</v>
      </c>
      <c r="D53" s="101" t="e">
        <f>AVERAGE(D31:D52)</f>
        <v>#DIV/0!</v>
      </c>
      <c r="E53" s="114" t="e">
        <f t="shared" ref="E53" si="3">AVERAGE(E31:E52)</f>
        <v>#DIV/0!</v>
      </c>
      <c r="F53" s="117" t="e">
        <f>AVERAGE(F31:F52)</f>
        <v>#DIV/0!</v>
      </c>
      <c r="G53" s="75" t="e">
        <f t="shared" ref="G53" si="4">AVERAGE(G31:G52)</f>
        <v>#DIV/0!</v>
      </c>
      <c r="H53" s="101" t="e">
        <f>AVERAGE(H31:H52)</f>
        <v>#DIV/0!</v>
      </c>
      <c r="I53" s="109" t="e">
        <f t="shared" ref="I53:J53" si="5">AVERAGE(I31:I52)</f>
        <v>#DIV/0!</v>
      </c>
      <c r="J53" s="111" t="e">
        <f t="shared" si="5"/>
        <v>#DIV/0!</v>
      </c>
    </row>
  </sheetData>
  <mergeCells count="14">
    <mergeCell ref="C28:J28"/>
    <mergeCell ref="C29:F29"/>
    <mergeCell ref="G29:J29"/>
    <mergeCell ref="C30:D30"/>
    <mergeCell ref="E30:F30"/>
    <mergeCell ref="G30:H30"/>
    <mergeCell ref="I30:J30"/>
    <mergeCell ref="C1:J1"/>
    <mergeCell ref="C2:F2"/>
    <mergeCell ref="G2:J2"/>
    <mergeCell ref="C3:D3"/>
    <mergeCell ref="E3:F3"/>
    <mergeCell ref="G3:H3"/>
    <mergeCell ref="I3:J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4C815-CC3E-4B32-B3E1-ABDE102A08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Screenshots</vt:lpstr>
      <vt:lpstr>Results</vt:lpstr>
      <vt:lpstr>Results Merged</vt:lpstr>
      <vt:lpstr>Results Feat-Extr</vt:lpstr>
      <vt:lpstr>ss-init</vt:lpstr>
      <vt:lpstr>ss-init (2)</vt:lpstr>
      <vt:lpstr>DataAug</vt:lpstr>
      <vt:lpstr>Interpolation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Breve</dc:creator>
  <cp:lastModifiedBy>Fabricio Aparecido Breve</cp:lastModifiedBy>
  <dcterms:created xsi:type="dcterms:W3CDTF">2015-06-05T18:19:34Z</dcterms:created>
  <dcterms:modified xsi:type="dcterms:W3CDTF">2024-12-02T19:26:11Z</dcterms:modified>
</cp:coreProperties>
</file>